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cal\"/>
    </mc:Choice>
  </mc:AlternateContent>
  <xr:revisionPtr revIDLastSave="0" documentId="13_ncr:1_{C4AB3A9A-5599-4C6D-A922-78C3666EB19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9" i="1" l="1"/>
  <c r="Q40" i="1"/>
  <c r="Q41" i="1"/>
  <c r="Q42" i="1"/>
  <c r="Q38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2" i="1"/>
  <c r="T42" i="1" l="1"/>
  <c r="T39" i="1"/>
  <c r="T40" i="1"/>
  <c r="T41" i="1"/>
  <c r="T38" i="1"/>
  <c r="S42" i="1"/>
  <c r="S41" i="1"/>
  <c r="S40" i="1"/>
  <c r="S39" i="1"/>
  <c r="S38" i="1"/>
  <c r="R42" i="1"/>
  <c r="R41" i="1"/>
  <c r="R40" i="1"/>
  <c r="R39" i="1"/>
  <c r="R38" i="1"/>
  <c r="Y38" i="1"/>
  <c r="Y39" i="1"/>
  <c r="Y40" i="1"/>
  <c r="Y41" i="1"/>
  <c r="Y42" i="1"/>
  <c r="W38" i="1"/>
  <c r="W39" i="1"/>
  <c r="W40" i="1"/>
  <c r="W41" i="1"/>
  <c r="W42" i="1"/>
  <c r="X35" i="1"/>
  <c r="Y35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6" i="1"/>
  <c r="Y37" i="1"/>
  <c r="Y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2" i="1"/>
  <c r="S37" i="1" l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2" i="1"/>
</calcChain>
</file>

<file path=xl/sharedStrings.xml><?xml version="1.0" encoding="utf-8"?>
<sst xmlns="http://schemas.openxmlformats.org/spreadsheetml/2006/main" count="193" uniqueCount="75">
  <si>
    <r>
      <t>ε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Cr</t>
    </r>
  </si>
  <si>
    <r>
      <t>ε</t>
    </r>
    <r>
      <rPr>
        <vertAlign val="superscript"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Cr</t>
    </r>
  </si>
  <si>
    <r>
      <t>ε</t>
    </r>
    <r>
      <rPr>
        <vertAlign val="superscript"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Ti</t>
    </r>
  </si>
  <si>
    <r>
      <t>ε</t>
    </r>
    <r>
      <rPr>
        <vertAlign val="superscript"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>Ti</t>
    </r>
  </si>
  <si>
    <r>
      <t>ε</t>
    </r>
    <r>
      <rPr>
        <vertAlign val="superscript"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Ti</t>
    </r>
  </si>
  <si>
    <t>Lu/Mg</t>
  </si>
  <si>
    <t>Cr/Mg</t>
  </si>
  <si>
    <t>Ti/Mg</t>
  </si>
  <si>
    <t>CY1</t>
  </si>
  <si>
    <t>Y-82162</t>
  </si>
  <si>
    <t>this study</t>
  </si>
  <si>
    <t>Schrader et al. 2025</t>
  </si>
  <si>
    <t>Zhu et al. 2025</t>
  </si>
  <si>
    <t>Y-86029</t>
  </si>
  <si>
    <t>Y-980115</t>
  </si>
  <si>
    <t>CY2</t>
  </si>
  <si>
    <t>B-7904</t>
  </si>
  <si>
    <t>Y-86720</t>
  </si>
  <si>
    <t>Y-86789</t>
  </si>
  <si>
    <t>CM</t>
  </si>
  <si>
    <t>Jbilet Winselwan</t>
  </si>
  <si>
    <t>ALH 85013,28</t>
  </si>
  <si>
    <t>Murray</t>
  </si>
  <si>
    <t>Murchison</t>
  </si>
  <si>
    <t>Mighei</t>
  </si>
  <si>
    <t>Banten</t>
  </si>
  <si>
    <t>CR</t>
  </si>
  <si>
    <t>EET 87770,7</t>
  </si>
  <si>
    <t>MIL 15328,18</t>
  </si>
  <si>
    <t>Renazzo</t>
  </si>
  <si>
    <t>CO</t>
  </si>
  <si>
    <t>DOM 08006,120</t>
  </si>
  <si>
    <t>Lancé</t>
  </si>
  <si>
    <t>MIL 05024,46</t>
  </si>
  <si>
    <t>MIL 090010,44</t>
  </si>
  <si>
    <t>CV</t>
  </si>
  <si>
    <t>GRA06101</t>
  </si>
  <si>
    <t>LAP 02206</t>
  </si>
  <si>
    <t>Allende 2632</t>
  </si>
  <si>
    <t>CK</t>
  </si>
  <si>
    <t>Karoonda</t>
  </si>
  <si>
    <t>ε50Ti2SE</t>
  </si>
  <si>
    <t>ε48Ti2SE</t>
  </si>
  <si>
    <t>ε46Ti2SE</t>
  </si>
  <si>
    <t>ε53Cr2SE</t>
  </si>
  <si>
    <t>ε54Cr2SE</t>
  </si>
  <si>
    <t>Level1</t>
  </si>
  <si>
    <t>Sample</t>
  </si>
  <si>
    <t>Source</t>
  </si>
  <si>
    <t>Mg/Cr</t>
  </si>
  <si>
    <t>Mg/Ti</t>
  </si>
  <si>
    <t>Mg/Fe</t>
  </si>
  <si>
    <t>Ti</t>
  </si>
  <si>
    <t>1/Ti</t>
  </si>
  <si>
    <t>Cr</t>
  </si>
  <si>
    <t>1/Cr</t>
  </si>
  <si>
    <t>CL</t>
  </si>
  <si>
    <t>NWA 13400</t>
  </si>
  <si>
    <t>Loongana 001</t>
  </si>
  <si>
    <t>NWA 033</t>
  </si>
  <si>
    <t>LoV 051</t>
  </si>
  <si>
    <t>Coolidge</t>
  </si>
  <si>
    <t>Mg</t>
  </si>
  <si>
    <t>Fe</t>
  </si>
  <si>
    <t>Ni</t>
  </si>
  <si>
    <t>Ca</t>
  </si>
  <si>
    <t>Mg/Ni</t>
  </si>
  <si>
    <t>Al</t>
  </si>
  <si>
    <t>Mn</t>
  </si>
  <si>
    <t>Na</t>
  </si>
  <si>
    <t>Ce</t>
  </si>
  <si>
    <t>Gd</t>
  </si>
  <si>
    <t>Allende 18/1</t>
  </si>
  <si>
    <t>Type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</si>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</sst>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/>
    <xf numFmtId="0" fontId="7" fillId="0" borderId="2" xfId="0" applyFont="1" applyBorder="1"/>
    <xf numFmtId="0" fontId="0" fillId="0" borderId="2" xfId="0" applyBorder="1"/>
    <xf numFmtId="2" fontId="0" fillId="0" borderId="2" xfId="0" applyNumberFormat="1" applyBorder="1"/>
    <xf numFmtId="0" fontId="8" fillId="0" borderId="2" xfId="0" applyFont="1" applyBorder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2"/>
  <sheetViews>
    <sheetView tabSelected="1" zoomScale="85" zoomScaleNormal="8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D29" sqref="D29"/>
    </sheetView>
  </sheetViews>
  <sheetFormatPr defaultRowHeight="14.4" x14ac:dyDescent="0.3"/>
  <cols>
    <col min="1" max="2" width="13" customWidth="1"/>
    <col min="3" max="3" width="15.33203125" customWidth="1"/>
    <col min="4" max="4" width="23.33203125" customWidth="1"/>
    <col min="18" max="18" width="9.5546875" style="1" customWidth="1"/>
    <col min="22" max="22" width="9.5546875" style="1" customWidth="1"/>
    <col min="26" max="26" width="9.5546875" style="1" bestFit="1" customWidth="1"/>
    <col min="27" max="30" width="9.109375" style="1"/>
  </cols>
  <sheetData>
    <row r="1" spans="1:41" ht="16.2" x14ac:dyDescent="0.3">
      <c r="A1" t="s">
        <v>46</v>
      </c>
      <c r="B1" t="s">
        <v>73</v>
      </c>
      <c r="C1" s="1" t="s">
        <v>47</v>
      </c>
      <c r="D1" t="s">
        <v>48</v>
      </c>
      <c r="E1" t="s">
        <v>0</v>
      </c>
      <c r="F1" t="s">
        <v>44</v>
      </c>
      <c r="G1" t="s">
        <v>1</v>
      </c>
      <c r="H1" t="s">
        <v>45</v>
      </c>
      <c r="I1" t="s">
        <v>2</v>
      </c>
      <c r="J1" t="s">
        <v>43</v>
      </c>
      <c r="K1" t="s">
        <v>3</v>
      </c>
      <c r="L1" t="s">
        <v>42</v>
      </c>
      <c r="M1" t="s">
        <v>4</v>
      </c>
      <c r="N1" t="s">
        <v>41</v>
      </c>
      <c r="O1" s="2" t="s">
        <v>5</v>
      </c>
      <c r="P1" s="2" t="s">
        <v>6</v>
      </c>
      <c r="Q1" s="3" t="s">
        <v>7</v>
      </c>
      <c r="R1" s="1" t="s">
        <v>49</v>
      </c>
      <c r="S1" t="s">
        <v>50</v>
      </c>
      <c r="T1" s="4" t="s">
        <v>51</v>
      </c>
      <c r="U1" s="4" t="s">
        <v>66</v>
      </c>
      <c r="V1" s="1" t="s">
        <v>52</v>
      </c>
      <c r="W1" t="s">
        <v>53</v>
      </c>
      <c r="X1" s="1" t="s">
        <v>54</v>
      </c>
      <c r="Y1" t="s">
        <v>55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</row>
    <row r="2" spans="1:41" x14ac:dyDescent="0.3">
      <c r="A2" s="24" t="s">
        <v>8</v>
      </c>
      <c r="B2" s="6" t="s">
        <v>74</v>
      </c>
      <c r="C2" s="1" t="s">
        <v>9</v>
      </c>
      <c r="D2" s="4" t="s">
        <v>10</v>
      </c>
      <c r="E2" s="5">
        <v>0.03</v>
      </c>
      <c r="F2" s="5">
        <v>0.04</v>
      </c>
      <c r="G2" s="5">
        <v>1.43</v>
      </c>
      <c r="H2" s="5">
        <v>0.11</v>
      </c>
      <c r="I2" s="5">
        <v>0.42657903310816536</v>
      </c>
      <c r="J2" s="5">
        <v>0.58988012870349271</v>
      </c>
      <c r="K2" s="5">
        <v>-2.7638669467903534E-3</v>
      </c>
      <c r="L2" s="5">
        <v>6.7029894758829145E-2</v>
      </c>
      <c r="M2" s="5">
        <v>2.0207073286737653</v>
      </c>
      <c r="N2" s="5">
        <v>0.23936472899444672</v>
      </c>
      <c r="O2" s="5">
        <v>0.99910329436958423</v>
      </c>
      <c r="P2" s="5">
        <v>1.0210811178344052</v>
      </c>
      <c r="Q2" s="5">
        <v>0.85231894830498556</v>
      </c>
      <c r="R2" s="5">
        <f>1/P2</f>
        <v>0.97935412038652148</v>
      </c>
      <c r="S2" s="5">
        <f>1/Q2</f>
        <v>1.1732697037754576</v>
      </c>
      <c r="T2" s="4">
        <v>0.91550764290505127</v>
      </c>
      <c r="U2" s="4">
        <f>Z2/AB2</f>
        <v>0.95556016529384291</v>
      </c>
      <c r="V2" s="5">
        <v>0.95320408221471742</v>
      </c>
      <c r="W2" s="4">
        <f>1/V2</f>
        <v>1.0490932830213597</v>
      </c>
      <c r="X2" s="4">
        <v>1.141941865457444</v>
      </c>
      <c r="Y2" s="4">
        <f>1/X2</f>
        <v>0.87570132092443753</v>
      </c>
      <c r="Z2" s="4">
        <v>1.1183654711776185</v>
      </c>
      <c r="AA2" s="4">
        <v>1.2215796119722901</v>
      </c>
      <c r="AB2" s="4">
        <v>1.1703768237698686</v>
      </c>
      <c r="AC2" s="4">
        <v>1.0263279739053708</v>
      </c>
      <c r="AD2" s="4">
        <v>1.0422776033756522</v>
      </c>
      <c r="AE2" s="4">
        <v>0.90083026501073349</v>
      </c>
      <c r="AF2" s="28">
        <v>0.95735193560749532</v>
      </c>
      <c r="AG2" s="28">
        <v>1.0179997057786272</v>
      </c>
      <c r="AH2" s="28">
        <v>1.1534111002534648</v>
      </c>
    </row>
    <row r="3" spans="1:41" x14ac:dyDescent="0.3">
      <c r="A3" s="24" t="s">
        <v>8</v>
      </c>
      <c r="B3" s="6" t="s">
        <v>74</v>
      </c>
      <c r="C3" s="1" t="s">
        <v>9</v>
      </c>
      <c r="D3" s="1" t="s">
        <v>11</v>
      </c>
      <c r="E3" s="5">
        <v>0.3</v>
      </c>
      <c r="F3" s="5">
        <v>0.09</v>
      </c>
      <c r="G3" s="6">
        <v>1.62</v>
      </c>
      <c r="H3" s="6">
        <v>0.15</v>
      </c>
      <c r="I3" s="6">
        <v>0.37</v>
      </c>
      <c r="J3" s="6">
        <v>0.05</v>
      </c>
      <c r="K3" s="6">
        <v>-0.02</v>
      </c>
      <c r="L3" s="6">
        <v>0.04</v>
      </c>
      <c r="M3" s="6">
        <v>1.67</v>
      </c>
      <c r="N3" s="6">
        <v>7.0000000000000007E-2</v>
      </c>
      <c r="O3" s="4">
        <v>0.70224123200133293</v>
      </c>
      <c r="P3" s="4">
        <v>0.99454712688731295</v>
      </c>
      <c r="Q3" s="5">
        <v>0.89760474274410362</v>
      </c>
      <c r="R3" s="5">
        <f t="shared" ref="R3:S37" si="0">1/P3</f>
        <v>1.0054827699615936</v>
      </c>
      <c r="S3" s="5">
        <f t="shared" si="0"/>
        <v>1.1140761098731049</v>
      </c>
      <c r="T3" s="4">
        <v>1.0403138724387073</v>
      </c>
      <c r="U3" s="4">
        <f t="shared" ref="U3:U42" si="1">Z3/AB3</f>
        <v>1.0069499619869342</v>
      </c>
      <c r="V3" s="5">
        <v>1.0266666666666666</v>
      </c>
      <c r="W3" s="4">
        <f t="shared" ref="W3:W42" si="2">1/V3</f>
        <v>0.97402597402597413</v>
      </c>
      <c r="X3" s="4">
        <v>1.1375478927203064</v>
      </c>
      <c r="Y3" s="4">
        <f t="shared" ref="Y3:Y42" si="3">1/X3</f>
        <v>0.87908386662175819</v>
      </c>
      <c r="Z3" s="4">
        <v>1.1437848061363876</v>
      </c>
      <c r="AA3" s="4">
        <v>1.0994612649498976</v>
      </c>
      <c r="AB3" s="4">
        <v>1.1358904109589001</v>
      </c>
      <c r="AC3" s="4">
        <v>0.96719457013574661</v>
      </c>
      <c r="AD3" s="4">
        <v>1.0698924731182795</v>
      </c>
      <c r="AE3" s="4">
        <v>1.265295358649789</v>
      </c>
      <c r="AF3" s="28"/>
      <c r="AG3" s="28">
        <v>0.98883572567783096</v>
      </c>
      <c r="AH3" s="28">
        <v>0.96153846153846168</v>
      </c>
    </row>
    <row r="4" spans="1:41" x14ac:dyDescent="0.3">
      <c r="A4" s="24" t="s">
        <v>8</v>
      </c>
      <c r="B4" s="6" t="s">
        <v>74</v>
      </c>
      <c r="C4" s="1" t="s">
        <v>9</v>
      </c>
      <c r="D4" s="1" t="s">
        <v>12</v>
      </c>
      <c r="E4" s="5">
        <v>0.25</v>
      </c>
      <c r="F4" s="5">
        <v>0.06</v>
      </c>
      <c r="G4" s="6">
        <v>1.44</v>
      </c>
      <c r="H4" s="6">
        <v>0.12</v>
      </c>
      <c r="I4" s="6">
        <v>0.42</v>
      </c>
      <c r="J4" s="6">
        <v>0.15</v>
      </c>
      <c r="K4" s="6">
        <v>-0.04</v>
      </c>
      <c r="L4" s="6">
        <v>0.04</v>
      </c>
      <c r="M4" s="6">
        <v>1.96</v>
      </c>
      <c r="N4" s="6">
        <v>7.0000000000000007E-2</v>
      </c>
      <c r="O4" s="4">
        <v>1.2458390176557399</v>
      </c>
      <c r="P4" s="4">
        <v>0.90184815797336637</v>
      </c>
      <c r="Q4" s="5">
        <v>0.93131382833299536</v>
      </c>
      <c r="R4" s="5">
        <f t="shared" si="0"/>
        <v>1.1088341104418293</v>
      </c>
      <c r="S4" s="5">
        <f t="shared" si="0"/>
        <v>1.0737519078718603</v>
      </c>
      <c r="T4" s="4">
        <v>0.99612656210792772</v>
      </c>
      <c r="U4" s="4">
        <f t="shared" si="1"/>
        <v>1.0227653026150987</v>
      </c>
      <c r="V4" s="5">
        <v>1.0777777777777777</v>
      </c>
      <c r="W4" s="4">
        <f t="shared" si="2"/>
        <v>0.92783505154639179</v>
      </c>
      <c r="X4" s="4">
        <v>1.0436781609195402</v>
      </c>
      <c r="Y4" s="4">
        <f t="shared" si="3"/>
        <v>0.95814977973568283</v>
      </c>
      <c r="Z4" s="4">
        <v>1.1572659451507827</v>
      </c>
      <c r="AA4" s="4">
        <v>1.1617659734942356</v>
      </c>
      <c r="AB4" s="4">
        <v>1.1315068493150684</v>
      </c>
      <c r="AC4" s="4">
        <v>1.1501131221719456</v>
      </c>
      <c r="AD4" s="4">
        <v>1.0759856630824374</v>
      </c>
      <c r="AE4" s="4">
        <v>1.1756329113924051</v>
      </c>
      <c r="AF4" s="28">
        <v>0.90431372549019606</v>
      </c>
      <c r="AG4" s="28">
        <v>1.0478468899521531</v>
      </c>
      <c r="AH4" s="28">
        <v>1.1447115384615385</v>
      </c>
    </row>
    <row r="5" spans="1:41" x14ac:dyDescent="0.3">
      <c r="A5" s="24" t="s">
        <v>8</v>
      </c>
      <c r="B5" s="6" t="s">
        <v>74</v>
      </c>
      <c r="C5" s="1" t="s">
        <v>13</v>
      </c>
      <c r="D5" s="4" t="s">
        <v>10</v>
      </c>
      <c r="E5" s="5">
        <v>0.15</v>
      </c>
      <c r="F5" s="5">
        <v>0.02</v>
      </c>
      <c r="G5" s="5">
        <v>1.42</v>
      </c>
      <c r="H5" s="5">
        <v>0.1</v>
      </c>
      <c r="I5" s="5">
        <v>0.31192015926301275</v>
      </c>
      <c r="J5" s="5">
        <v>0.32312458309850273</v>
      </c>
      <c r="K5" s="5">
        <v>0.13231848906697374</v>
      </c>
      <c r="L5" s="5">
        <v>0.12617758625095188</v>
      </c>
      <c r="M5" s="5">
        <v>1.7528301142122338</v>
      </c>
      <c r="N5" s="5">
        <v>0.19262714701451966</v>
      </c>
      <c r="O5" s="4">
        <v>0.96343338046271554</v>
      </c>
      <c r="P5" s="4">
        <v>1.0398649272094183</v>
      </c>
      <c r="Q5" s="5">
        <v>0.87706994192168319</v>
      </c>
      <c r="R5" s="5">
        <f t="shared" si="0"/>
        <v>0.96166336014774556</v>
      </c>
      <c r="S5" s="5">
        <f t="shared" si="0"/>
        <v>1.1401599259107817</v>
      </c>
      <c r="T5" s="4">
        <v>0.94838055012525524</v>
      </c>
      <c r="U5" s="4">
        <f t="shared" si="1"/>
        <v>0.93939346008640912</v>
      </c>
      <c r="V5" s="5">
        <v>1.0208193477636605</v>
      </c>
      <c r="W5" s="4">
        <f t="shared" si="2"/>
        <v>0.9796052574735481</v>
      </c>
      <c r="X5" s="4">
        <v>1.2399125825323705</v>
      </c>
      <c r="Y5" s="4">
        <f t="shared" si="3"/>
        <v>0.80650847010328885</v>
      </c>
      <c r="Z5" s="4">
        <v>1.2149900952233863</v>
      </c>
      <c r="AA5" s="4">
        <v>1.2811208486539705</v>
      </c>
      <c r="AB5" s="4">
        <v>1.2933772129003609</v>
      </c>
      <c r="AC5" s="4">
        <v>1.1700705496500745</v>
      </c>
      <c r="AD5" s="4">
        <v>1.0646237170414934</v>
      </c>
      <c r="AE5" s="4">
        <v>1.177788935819208</v>
      </c>
      <c r="AF5" s="28">
        <v>1.1171568113563499</v>
      </c>
      <c r="AG5" s="28">
        <v>1.2428333940968537</v>
      </c>
      <c r="AH5" s="28">
        <v>1.2023245263232458</v>
      </c>
    </row>
    <row r="6" spans="1:41" x14ac:dyDescent="0.3">
      <c r="A6" s="24" t="s">
        <v>8</v>
      </c>
      <c r="B6" s="6" t="s">
        <v>74</v>
      </c>
      <c r="C6" s="1" t="s">
        <v>13</v>
      </c>
      <c r="D6" s="1" t="s">
        <v>11</v>
      </c>
      <c r="E6" s="5">
        <v>0.15</v>
      </c>
      <c r="F6" s="5">
        <v>0.1</v>
      </c>
      <c r="G6" s="5">
        <v>1.57</v>
      </c>
      <c r="H6" s="5">
        <v>0.16</v>
      </c>
      <c r="I6" s="5">
        <v>0.33</v>
      </c>
      <c r="J6" s="5">
        <v>0.11</v>
      </c>
      <c r="K6" s="5">
        <v>-0.03</v>
      </c>
      <c r="L6" s="5">
        <v>0.06</v>
      </c>
      <c r="M6" s="5">
        <v>1.7</v>
      </c>
      <c r="N6" s="5">
        <v>0.15</v>
      </c>
      <c r="O6" s="4">
        <v>0.97761621480807614</v>
      </c>
      <c r="P6" s="4">
        <v>0.94230591573912692</v>
      </c>
      <c r="Q6" s="5">
        <v>0.8384688402337267</v>
      </c>
      <c r="R6" s="5">
        <f t="shared" si="0"/>
        <v>1.0612264905666213</v>
      </c>
      <c r="S6" s="5">
        <f t="shared" si="0"/>
        <v>1.1926501642222576</v>
      </c>
      <c r="T6" s="4">
        <v>1.1018319675124548</v>
      </c>
      <c r="U6" s="4">
        <f t="shared" si="1"/>
        <v>1.0758001122588365</v>
      </c>
      <c r="V6" s="5">
        <v>1.0333333333333334</v>
      </c>
      <c r="W6" s="4">
        <f t="shared" si="2"/>
        <v>0.96774193548387089</v>
      </c>
      <c r="X6" s="4">
        <v>1.1613026819923371</v>
      </c>
      <c r="Y6" s="4">
        <f t="shared" si="3"/>
        <v>0.861101946552293</v>
      </c>
      <c r="Z6" s="4">
        <v>1.232405169696333</v>
      </c>
      <c r="AA6" s="4">
        <v>1.1185055489710161</v>
      </c>
      <c r="AB6" s="4">
        <v>1.1455707762557077</v>
      </c>
      <c r="AC6" s="4">
        <v>1.0366515837104073</v>
      </c>
      <c r="AD6" s="4">
        <v>1.2154121863799283</v>
      </c>
      <c r="AE6" s="4">
        <v>1.0363924050632911</v>
      </c>
      <c r="AF6" s="28"/>
      <c r="AG6" s="28">
        <v>1.036682615629984</v>
      </c>
      <c r="AH6" s="28">
        <v>1.1057692307692308</v>
      </c>
    </row>
    <row r="7" spans="1:41" x14ac:dyDescent="0.3">
      <c r="A7" s="24" t="s">
        <v>8</v>
      </c>
      <c r="B7" s="6" t="s">
        <v>74</v>
      </c>
      <c r="C7" s="1" t="s">
        <v>13</v>
      </c>
      <c r="D7" s="1" t="s">
        <v>12</v>
      </c>
      <c r="E7" s="5">
        <v>0.14000000000000001</v>
      </c>
      <c r="F7" s="5">
        <v>0.04</v>
      </c>
      <c r="G7" s="6">
        <v>1.42</v>
      </c>
      <c r="H7" s="6">
        <v>0.03</v>
      </c>
      <c r="I7" s="6">
        <v>0.28000000000000003</v>
      </c>
      <c r="J7" s="6">
        <v>0.08</v>
      </c>
      <c r="K7" s="6">
        <v>-0.04</v>
      </c>
      <c r="L7" s="6">
        <v>0.1</v>
      </c>
      <c r="M7" s="6">
        <v>1.95</v>
      </c>
      <c r="N7" s="6">
        <v>0.03</v>
      </c>
      <c r="O7" s="4">
        <v>1.1060752488672645</v>
      </c>
      <c r="P7" s="4">
        <v>0.91267985694547971</v>
      </c>
      <c r="Q7" s="5">
        <v>0.94111893360996723</v>
      </c>
      <c r="R7" s="5">
        <f t="shared" si="0"/>
        <v>1.0956744496879331</v>
      </c>
      <c r="S7" s="5">
        <f t="shared" si="0"/>
        <v>1.0625649578254421</v>
      </c>
      <c r="T7" s="4">
        <v>0.98944393854869983</v>
      </c>
      <c r="U7" s="4">
        <f t="shared" si="1"/>
        <v>1.0227161581363937</v>
      </c>
      <c r="V7" s="5">
        <v>1.0422222222222222</v>
      </c>
      <c r="W7" s="4">
        <f t="shared" si="2"/>
        <v>0.95948827292110883</v>
      </c>
      <c r="X7" s="4">
        <v>1.010727969348659</v>
      </c>
      <c r="Y7" s="4">
        <f t="shared" si="3"/>
        <v>0.98938589840788471</v>
      </c>
      <c r="Z7" s="4">
        <v>1.1074288116002942</v>
      </c>
      <c r="AA7" s="4">
        <v>1.1192436159896564</v>
      </c>
      <c r="AB7" s="4">
        <v>1.0828310502283105</v>
      </c>
      <c r="AC7" s="4">
        <v>1.0877828054298642</v>
      </c>
      <c r="AD7" s="4">
        <v>1.0493428912783751</v>
      </c>
      <c r="AE7" s="4">
        <v>1.1265822784810127</v>
      </c>
      <c r="AF7" s="28">
        <v>0.95980392156862748</v>
      </c>
      <c r="AG7" s="28">
        <v>0.99154704944178629</v>
      </c>
      <c r="AH7" s="28">
        <v>1.0850961538461539</v>
      </c>
    </row>
    <row r="8" spans="1:41" x14ac:dyDescent="0.3">
      <c r="A8" s="24" t="s">
        <v>8</v>
      </c>
      <c r="B8" s="6" t="s">
        <v>74</v>
      </c>
      <c r="C8" s="1" t="s">
        <v>14</v>
      </c>
      <c r="D8" s="4" t="s">
        <v>10</v>
      </c>
      <c r="E8" s="5">
        <v>0.08</v>
      </c>
      <c r="F8" s="5">
        <v>0.06</v>
      </c>
      <c r="G8" s="6">
        <v>1.41</v>
      </c>
      <c r="H8" s="6">
        <v>0.11</v>
      </c>
      <c r="I8" s="5">
        <v>0.25927682575499489</v>
      </c>
      <c r="J8" s="5">
        <v>0.15167080610426203</v>
      </c>
      <c r="K8" s="5">
        <v>0.12679220454137052</v>
      </c>
      <c r="L8" s="5">
        <v>8.1499944841543617E-2</v>
      </c>
      <c r="M8" s="5">
        <v>1.47940779584399</v>
      </c>
      <c r="N8" s="5">
        <v>0.11737216253190547</v>
      </c>
      <c r="O8" s="4">
        <v>0.9800498735647124</v>
      </c>
      <c r="P8" s="4">
        <v>1.0348621788688079</v>
      </c>
      <c r="Q8" s="5">
        <v>0.86281799207766485</v>
      </c>
      <c r="R8" s="5">
        <f t="shared" si="0"/>
        <v>0.96631224951431194</v>
      </c>
      <c r="S8" s="5">
        <f t="shared" si="0"/>
        <v>1.1589929848263838</v>
      </c>
      <c r="T8" s="4">
        <v>0.97610884746274473</v>
      </c>
      <c r="U8" s="4">
        <f t="shared" si="1"/>
        <v>0.94694480957854477</v>
      </c>
      <c r="V8" s="5">
        <v>1.0113304235666378</v>
      </c>
      <c r="W8" s="4">
        <f t="shared" si="2"/>
        <v>0.98879651664519386</v>
      </c>
      <c r="X8" s="4">
        <v>1.0638494137536236</v>
      </c>
      <c r="Y8" s="4">
        <f t="shared" si="3"/>
        <v>0.93998265832723349</v>
      </c>
      <c r="Z8" s="4">
        <v>1.0321329245355682</v>
      </c>
      <c r="AA8" s="4">
        <v>1.057395317354668</v>
      </c>
      <c r="AB8" s="4">
        <v>1.0899610136676687</v>
      </c>
      <c r="AC8" s="4">
        <v>0.96892376997821472</v>
      </c>
      <c r="AD8" s="4">
        <v>0.89678762954169011</v>
      </c>
      <c r="AE8" s="4">
        <v>1.096969196878566</v>
      </c>
      <c r="AF8" s="28">
        <v>1.2291347597741933</v>
      </c>
      <c r="AG8" s="28">
        <v>1.1169289874740784</v>
      </c>
      <c r="AH8" s="28">
        <v>1.1289999054445201</v>
      </c>
      <c r="AJ8" s="1"/>
      <c r="AK8" s="1"/>
      <c r="AL8" s="1"/>
      <c r="AM8" s="1"/>
      <c r="AN8" s="1"/>
      <c r="AO8" s="1"/>
    </row>
    <row r="9" spans="1:41" x14ac:dyDescent="0.3">
      <c r="A9" s="24" t="s">
        <v>8</v>
      </c>
      <c r="B9" s="6" t="s">
        <v>74</v>
      </c>
      <c r="C9" s="1" t="s">
        <v>14</v>
      </c>
      <c r="D9" s="1" t="s">
        <v>11</v>
      </c>
      <c r="E9" s="5">
        <v>0.44</v>
      </c>
      <c r="F9" s="5">
        <v>0.15</v>
      </c>
      <c r="G9" s="6">
        <v>1.86</v>
      </c>
      <c r="H9" s="6">
        <v>0.16</v>
      </c>
      <c r="I9" s="6">
        <v>0.31</v>
      </c>
      <c r="J9" s="6">
        <v>0.11</v>
      </c>
      <c r="K9" s="6">
        <v>0.05</v>
      </c>
      <c r="L9" s="6">
        <v>0.05</v>
      </c>
      <c r="M9" s="6">
        <v>1.75</v>
      </c>
      <c r="N9" s="6">
        <v>0.14000000000000001</v>
      </c>
      <c r="O9" s="4">
        <v>0.77588525474790493</v>
      </c>
      <c r="P9" s="4">
        <v>1.0259343440883848</v>
      </c>
      <c r="Q9" s="5">
        <v>0.93807113583204194</v>
      </c>
      <c r="R9" s="5">
        <f t="shared" si="0"/>
        <v>0.97472124387118619</v>
      </c>
      <c r="S9" s="5">
        <f t="shared" si="0"/>
        <v>1.0660172366491469</v>
      </c>
      <c r="T9" s="4">
        <v>1.0115322977967287</v>
      </c>
      <c r="U9" s="4">
        <f t="shared" si="1"/>
        <v>0.97485998928862638</v>
      </c>
      <c r="V9" s="5">
        <v>0.97111111111111115</v>
      </c>
      <c r="W9" s="4">
        <f t="shared" si="2"/>
        <v>1.0297482837528604</v>
      </c>
      <c r="X9" s="4">
        <v>1.0620689655172413</v>
      </c>
      <c r="Y9" s="4">
        <f t="shared" si="3"/>
        <v>0.94155844155844159</v>
      </c>
      <c r="Z9" s="4">
        <v>1.0352211831459495</v>
      </c>
      <c r="AA9" s="4">
        <v>1.0234188126279495</v>
      </c>
      <c r="AB9" s="4">
        <v>1.061917808219178</v>
      </c>
      <c r="AC9" s="4">
        <v>0.94762443438914024</v>
      </c>
      <c r="AD9" s="4">
        <v>0.97777777777777775</v>
      </c>
      <c r="AE9" s="4">
        <v>1.0453586497890295</v>
      </c>
      <c r="AF9" s="28"/>
      <c r="AG9" s="28">
        <v>0.94098883572567782</v>
      </c>
      <c r="AH9" s="28">
        <v>0.96153846153846168</v>
      </c>
    </row>
    <row r="10" spans="1:41" x14ac:dyDescent="0.3">
      <c r="A10" s="24" t="s">
        <v>8</v>
      </c>
      <c r="B10" s="6" t="s">
        <v>74</v>
      </c>
      <c r="C10" s="1" t="s">
        <v>14</v>
      </c>
      <c r="D10" s="7" t="s">
        <v>12</v>
      </c>
      <c r="E10" s="8">
        <v>0.42</v>
      </c>
      <c r="F10" s="8">
        <v>0.02</v>
      </c>
      <c r="G10" s="9">
        <v>1.64</v>
      </c>
      <c r="H10" s="9">
        <v>0.08</v>
      </c>
      <c r="I10" s="9">
        <v>0.34</v>
      </c>
      <c r="J10" s="9">
        <v>0.15</v>
      </c>
      <c r="K10" s="9">
        <v>0</v>
      </c>
      <c r="L10" s="9">
        <v>0.06</v>
      </c>
      <c r="M10" s="9">
        <v>1.93</v>
      </c>
      <c r="N10" s="9">
        <v>0.16</v>
      </c>
      <c r="O10" s="4">
        <v>1.2641666033347776</v>
      </c>
      <c r="P10" s="4">
        <v>0.91256084772665136</v>
      </c>
      <c r="Q10" s="5">
        <v>0.95505242893421793</v>
      </c>
      <c r="R10" s="5">
        <f t="shared" si="0"/>
        <v>1.0958173391847512</v>
      </c>
      <c r="S10" s="5">
        <f t="shared" si="0"/>
        <v>1.047062935713321</v>
      </c>
      <c r="T10" s="4">
        <v>0.95276750996475668</v>
      </c>
      <c r="U10" s="4">
        <f t="shared" si="1"/>
        <v>1.0116172110506569</v>
      </c>
      <c r="V10" s="5">
        <v>0.98</v>
      </c>
      <c r="W10" s="4">
        <f t="shared" si="2"/>
        <v>1.0204081632653061</v>
      </c>
      <c r="X10" s="4">
        <v>0.93639846743295019</v>
      </c>
      <c r="Y10" s="4">
        <f t="shared" si="3"/>
        <v>1.0679214402618658</v>
      </c>
      <c r="Z10" s="4">
        <v>1.0261216769990544</v>
      </c>
      <c r="AA10" s="4">
        <v>1.0769906260101283</v>
      </c>
      <c r="AB10" s="4">
        <v>1.0143378995433789</v>
      </c>
      <c r="AC10" s="4">
        <v>1.0634615384615385</v>
      </c>
      <c r="AD10" s="4">
        <v>0.95388291517323776</v>
      </c>
      <c r="AE10" s="4">
        <v>1.5416666666666667</v>
      </c>
      <c r="AF10" s="28">
        <v>1.043921568627451</v>
      </c>
      <c r="AG10" s="28">
        <v>0.96953748006379581</v>
      </c>
      <c r="AH10" s="28">
        <v>1.028846153846154</v>
      </c>
    </row>
    <row r="11" spans="1:41" x14ac:dyDescent="0.3">
      <c r="A11" s="24" t="s">
        <v>15</v>
      </c>
      <c r="B11" s="6" t="s">
        <v>74</v>
      </c>
      <c r="C11" s="1" t="s">
        <v>16</v>
      </c>
      <c r="D11" s="4" t="s">
        <v>10</v>
      </c>
      <c r="E11" s="5">
        <v>0.09</v>
      </c>
      <c r="F11" s="5">
        <v>7.0000000000000007E-2</v>
      </c>
      <c r="G11" s="5">
        <v>1.1100000000000001</v>
      </c>
      <c r="H11" s="5">
        <v>0.1</v>
      </c>
      <c r="I11" s="5">
        <v>0.3267250400766919</v>
      </c>
      <c r="J11" s="5">
        <v>0.20620183706028167</v>
      </c>
      <c r="K11" s="5">
        <v>6.2999422115295189E-2</v>
      </c>
      <c r="L11" s="5">
        <v>5.8618503434195626E-2</v>
      </c>
      <c r="M11" s="5">
        <v>2.4898898339302811</v>
      </c>
      <c r="N11" s="5">
        <v>0.14896459886161931</v>
      </c>
      <c r="O11" s="4">
        <v>1.0184651949532728</v>
      </c>
      <c r="P11" s="4">
        <v>0.95149983600585475</v>
      </c>
      <c r="Q11" s="5">
        <v>0.95586793665337022</v>
      </c>
      <c r="R11" s="5">
        <f t="shared" si="0"/>
        <v>1.0509723303765728</v>
      </c>
      <c r="S11" s="5">
        <f t="shared" si="0"/>
        <v>1.0461696241231215</v>
      </c>
      <c r="T11" s="4">
        <v>1.0959138456605293</v>
      </c>
      <c r="U11" s="4">
        <f t="shared" si="1"/>
        <v>1.0626756435332414</v>
      </c>
      <c r="V11" s="5">
        <v>1.3086976159461394</v>
      </c>
      <c r="W11" s="4">
        <f t="shared" si="2"/>
        <v>0.7641184547257216</v>
      </c>
      <c r="X11" s="4">
        <v>1.3317785806398963</v>
      </c>
      <c r="Y11" s="4">
        <f t="shared" si="3"/>
        <v>0.75087556936042443</v>
      </c>
      <c r="Z11" s="4">
        <v>1.4026395790730668</v>
      </c>
      <c r="AA11" s="4">
        <v>1.2798812467121152</v>
      </c>
      <c r="AB11" s="4">
        <v>1.3199131716329688</v>
      </c>
      <c r="AC11" s="4">
        <v>1.5103298332539443</v>
      </c>
      <c r="AD11" s="4">
        <v>1.4084301488778643</v>
      </c>
      <c r="AE11" s="4">
        <v>0.99481139379311567</v>
      </c>
      <c r="AF11" s="28">
        <v>0.95314383800962232</v>
      </c>
      <c r="AG11" s="28">
        <v>1.2439814089882704</v>
      </c>
      <c r="AH11" s="28">
        <v>1.415356403253262</v>
      </c>
    </row>
    <row r="12" spans="1:41" x14ac:dyDescent="0.3">
      <c r="A12" s="24" t="s">
        <v>15</v>
      </c>
      <c r="B12" s="6" t="s">
        <v>74</v>
      </c>
      <c r="C12" s="1" t="s">
        <v>16</v>
      </c>
      <c r="D12" s="1" t="s">
        <v>11</v>
      </c>
      <c r="E12" s="5">
        <v>0.15</v>
      </c>
      <c r="F12" s="5">
        <v>0.09</v>
      </c>
      <c r="G12" s="5">
        <v>1.19</v>
      </c>
      <c r="H12" s="5">
        <v>0.14000000000000001</v>
      </c>
      <c r="I12" s="5">
        <v>0.41</v>
      </c>
      <c r="J12" s="5">
        <v>0.1</v>
      </c>
      <c r="K12" s="5">
        <v>-7.0000000000000007E-2</v>
      </c>
      <c r="L12" s="5">
        <v>0.06</v>
      </c>
      <c r="M12" s="5">
        <v>2.4</v>
      </c>
      <c r="N12" s="5">
        <v>0.17</v>
      </c>
      <c r="O12" s="4">
        <v>0.8464812015710379</v>
      </c>
      <c r="P12" s="4">
        <v>0.93623415472152405</v>
      </c>
      <c r="Q12" s="5">
        <v>1.0007853192707539</v>
      </c>
      <c r="R12" s="5">
        <f t="shared" si="0"/>
        <v>1.0681088646006967</v>
      </c>
      <c r="S12" s="5">
        <f t="shared" si="0"/>
        <v>0.99921529697165612</v>
      </c>
      <c r="T12" s="4">
        <v>1.1309502629507042</v>
      </c>
      <c r="U12" s="4">
        <f t="shared" si="1"/>
        <v>1.0889761829512461</v>
      </c>
      <c r="V12" s="5">
        <v>1.4244444444444444</v>
      </c>
      <c r="W12" s="4">
        <f t="shared" si="2"/>
        <v>0.702028081123245</v>
      </c>
      <c r="X12" s="4">
        <v>1.3325670498084292</v>
      </c>
      <c r="Y12" s="4">
        <f t="shared" si="3"/>
        <v>0.75043128234617595</v>
      </c>
      <c r="Z12" s="4">
        <v>1.4233266785751812</v>
      </c>
      <c r="AA12" s="4">
        <v>1.2585227884926193</v>
      </c>
      <c r="AB12" s="4">
        <v>1.3070319634703196</v>
      </c>
      <c r="AC12" s="4">
        <v>1.3531674208144797</v>
      </c>
      <c r="AD12" s="4">
        <v>1.4274790919952209</v>
      </c>
      <c r="AE12" s="4">
        <v>1.003691983122363</v>
      </c>
      <c r="AF12" s="28"/>
      <c r="AG12" s="28">
        <v>1.3078149920255182</v>
      </c>
      <c r="AH12" s="28">
        <v>1.2980769230769231</v>
      </c>
    </row>
    <row r="13" spans="1:41" x14ac:dyDescent="0.3">
      <c r="A13" s="24" t="s">
        <v>15</v>
      </c>
      <c r="B13" s="6" t="s">
        <v>74</v>
      </c>
      <c r="C13" s="1" t="s">
        <v>16</v>
      </c>
      <c r="D13" s="1" t="s">
        <v>12</v>
      </c>
      <c r="E13" s="5">
        <v>0.11</v>
      </c>
      <c r="F13" s="5">
        <v>0.03</v>
      </c>
      <c r="G13" s="5">
        <v>1.2</v>
      </c>
      <c r="H13" s="5">
        <v>0.05</v>
      </c>
      <c r="I13" s="5">
        <v>0.69</v>
      </c>
      <c r="J13" s="5">
        <v>0.13</v>
      </c>
      <c r="K13" s="5">
        <v>-0.03</v>
      </c>
      <c r="L13" s="5">
        <v>0.09</v>
      </c>
      <c r="M13" s="5">
        <v>3.1</v>
      </c>
      <c r="N13" s="5">
        <v>0.11</v>
      </c>
      <c r="O13" s="4">
        <v>0.98397727384277134</v>
      </c>
      <c r="P13" s="4">
        <v>0.84169896365364993</v>
      </c>
      <c r="Q13" s="5">
        <v>1.0644644036582249</v>
      </c>
      <c r="R13" s="5">
        <f t="shared" si="0"/>
        <v>1.1880732223539832</v>
      </c>
      <c r="S13" s="5">
        <f t="shared" si="0"/>
        <v>0.93943958723590826</v>
      </c>
      <c r="T13" s="4">
        <v>1.192871411936216</v>
      </c>
      <c r="U13" s="4">
        <f t="shared" si="1"/>
        <v>1.2233083845476964</v>
      </c>
      <c r="V13" s="5">
        <v>1.5466666666666666</v>
      </c>
      <c r="W13" s="4">
        <f t="shared" si="2"/>
        <v>0.64655172413793105</v>
      </c>
      <c r="X13" s="4">
        <v>1.2229885057471264</v>
      </c>
      <c r="Y13" s="4">
        <f t="shared" si="3"/>
        <v>0.81766917293233088</v>
      </c>
      <c r="Z13" s="4">
        <v>1.4529998949248712</v>
      </c>
      <c r="AA13" s="4">
        <v>1.2180691735804332</v>
      </c>
      <c r="AB13" s="4">
        <v>1.1877625570776256</v>
      </c>
      <c r="AC13" s="4">
        <v>1.4994343891402715</v>
      </c>
      <c r="AD13" s="4">
        <v>1.5502986857825567</v>
      </c>
      <c r="AE13" s="4">
        <v>0.93565400843881852</v>
      </c>
      <c r="AF13" s="28">
        <v>0.90745098039215688</v>
      </c>
      <c r="AG13" s="28">
        <v>1.3585326953748007</v>
      </c>
      <c r="AH13" s="28">
        <v>1.4028846153846155</v>
      </c>
    </row>
    <row r="14" spans="1:41" x14ac:dyDescent="0.3">
      <c r="A14" s="24" t="s">
        <v>15</v>
      </c>
      <c r="B14" s="6" t="s">
        <v>74</v>
      </c>
      <c r="C14" s="4" t="s">
        <v>17</v>
      </c>
      <c r="D14" s="4" t="s">
        <v>10</v>
      </c>
      <c r="E14" s="5">
        <v>0.17</v>
      </c>
      <c r="F14" s="5">
        <v>0.06</v>
      </c>
      <c r="G14" s="5">
        <v>1.39</v>
      </c>
      <c r="H14" s="5">
        <v>0.08</v>
      </c>
      <c r="I14" s="5">
        <v>0.42024726323629402</v>
      </c>
      <c r="J14" s="5">
        <v>0.11899287235774973</v>
      </c>
      <c r="K14" s="5">
        <v>2.6582241477002277E-2</v>
      </c>
      <c r="L14" s="5">
        <v>7.5331220441935784E-2</v>
      </c>
      <c r="M14" s="5">
        <v>2.9710857629823284</v>
      </c>
      <c r="N14" s="5">
        <v>0.16299371420601705</v>
      </c>
      <c r="O14" s="5">
        <v>0.9957824024346521</v>
      </c>
      <c r="P14" s="5">
        <v>0.92994592169677592</v>
      </c>
      <c r="Q14" s="5">
        <v>0.96070833106999365</v>
      </c>
      <c r="R14" s="5">
        <f t="shared" si="0"/>
        <v>1.0753313463382943</v>
      </c>
      <c r="S14" s="5">
        <f t="shared" si="0"/>
        <v>1.0408986449469477</v>
      </c>
      <c r="T14" s="4">
        <v>1.1328693454966119</v>
      </c>
      <c r="U14" s="4">
        <f t="shared" si="1"/>
        <v>1.1269026207818216</v>
      </c>
      <c r="V14" s="5">
        <v>1.310119607794223</v>
      </c>
      <c r="W14" s="4">
        <f t="shared" si="2"/>
        <v>0.7632890875388435</v>
      </c>
      <c r="X14" s="4">
        <v>1.2681688570830698</v>
      </c>
      <c r="Y14" s="4">
        <f t="shared" si="3"/>
        <v>0.7885385249879987</v>
      </c>
      <c r="Z14" s="4">
        <v>1.3637017244714333</v>
      </c>
      <c r="AA14" s="4">
        <v>1.2037590476716733</v>
      </c>
      <c r="AB14" s="4">
        <v>1.2101327118445473</v>
      </c>
      <c r="AC14" s="4">
        <v>1.325793231009901</v>
      </c>
      <c r="AD14" s="4">
        <v>1.3614971952587593</v>
      </c>
      <c r="AE14" s="4">
        <v>0.96112521277641483</v>
      </c>
      <c r="AF14" s="28">
        <v>0.87717436265127702</v>
      </c>
      <c r="AG14" s="28">
        <v>1.191295021020579</v>
      </c>
      <c r="AH14" s="28">
        <v>1.4043979236520692</v>
      </c>
    </row>
    <row r="15" spans="1:41" x14ac:dyDescent="0.3">
      <c r="A15" s="24" t="s">
        <v>15</v>
      </c>
      <c r="B15" s="6" t="s">
        <v>74</v>
      </c>
      <c r="C15" s="4" t="s">
        <v>17</v>
      </c>
      <c r="D15" s="1" t="s">
        <v>11</v>
      </c>
      <c r="E15" s="5">
        <v>0.26</v>
      </c>
      <c r="F15" s="5">
        <v>0.09</v>
      </c>
      <c r="G15" s="5">
        <v>1.38</v>
      </c>
      <c r="H15" s="5">
        <v>0.17</v>
      </c>
      <c r="I15" s="5">
        <v>0.49</v>
      </c>
      <c r="J15" s="5">
        <v>0.09</v>
      </c>
      <c r="K15" s="5">
        <v>-0.03</v>
      </c>
      <c r="L15" s="5">
        <v>0.03</v>
      </c>
      <c r="M15" s="5">
        <v>2.39</v>
      </c>
      <c r="N15" s="5">
        <v>0.08</v>
      </c>
      <c r="O15" s="5">
        <v>0.88532332627425114</v>
      </c>
      <c r="P15" s="5">
        <v>0.95385617104070697</v>
      </c>
      <c r="Q15" s="5">
        <v>0.97975781441017118</v>
      </c>
      <c r="R15" s="5">
        <f t="shared" si="0"/>
        <v>1.0483760868359719</v>
      </c>
      <c r="S15" s="5">
        <f t="shared" si="0"/>
        <v>1.0206603971839867</v>
      </c>
      <c r="T15" s="4">
        <v>1.1200826688854397</v>
      </c>
      <c r="U15" s="4">
        <f t="shared" si="1"/>
        <v>1.0766304312467454</v>
      </c>
      <c r="V15" s="5">
        <v>1.3333333333333333</v>
      </c>
      <c r="W15" s="4">
        <f t="shared" si="2"/>
        <v>0.75</v>
      </c>
      <c r="X15" s="4">
        <v>1.2980842911877395</v>
      </c>
      <c r="Y15" s="4">
        <f t="shared" si="3"/>
        <v>0.77036599763872493</v>
      </c>
      <c r="Z15" s="4">
        <v>1.3608805295786488</v>
      </c>
      <c r="AA15" s="4">
        <v>1.2149822217433466</v>
      </c>
      <c r="AB15" s="4">
        <v>1.2640182648401828</v>
      </c>
      <c r="AC15" s="4">
        <v>1.5323529411764707</v>
      </c>
      <c r="AD15" s="4">
        <v>1.4121863799283154</v>
      </c>
      <c r="AE15" s="4">
        <v>1.0574894514767932</v>
      </c>
      <c r="AF15" s="28"/>
      <c r="AG15" s="28">
        <v>1.3716108452950557</v>
      </c>
      <c r="AH15" s="28">
        <v>1.3942307692307692</v>
      </c>
    </row>
    <row r="16" spans="1:41" x14ac:dyDescent="0.3">
      <c r="A16" s="24" t="s">
        <v>15</v>
      </c>
      <c r="B16" s="6" t="s">
        <v>74</v>
      </c>
      <c r="C16" s="4" t="s">
        <v>17</v>
      </c>
      <c r="D16" s="1" t="s">
        <v>12</v>
      </c>
      <c r="E16" s="5">
        <v>0.18</v>
      </c>
      <c r="F16" s="5">
        <v>0.03</v>
      </c>
      <c r="G16" s="5">
        <v>1.18</v>
      </c>
      <c r="H16" s="5">
        <v>0.06</v>
      </c>
      <c r="I16" s="5">
        <v>0.41</v>
      </c>
      <c r="J16" s="5">
        <v>0.05</v>
      </c>
      <c r="K16" s="5">
        <v>-0.05</v>
      </c>
      <c r="L16" s="5">
        <v>0.08</v>
      </c>
      <c r="M16" s="5">
        <v>1.85</v>
      </c>
      <c r="N16" s="5">
        <v>0.16</v>
      </c>
      <c r="O16" s="5">
        <v>1.1724485120535642</v>
      </c>
      <c r="P16" s="5">
        <v>0.82593202813711708</v>
      </c>
      <c r="Q16" s="5">
        <v>1.0604979172404141</v>
      </c>
      <c r="R16" s="5">
        <f t="shared" si="0"/>
        <v>1.2107533863960838</v>
      </c>
      <c r="S16" s="5">
        <f t="shared" si="0"/>
        <v>0.94295328990570826</v>
      </c>
      <c r="T16" s="4">
        <v>1.0815507328507756</v>
      </c>
      <c r="U16" s="4">
        <f t="shared" si="1"/>
        <v>1.1925899262334108</v>
      </c>
      <c r="V16" s="5">
        <v>1.3622222222222222</v>
      </c>
      <c r="W16" s="4">
        <f t="shared" si="2"/>
        <v>0.73409461663947795</v>
      </c>
      <c r="X16" s="4">
        <v>1.060919540229885</v>
      </c>
      <c r="Y16" s="4">
        <f t="shared" si="3"/>
        <v>0.9425785482123511</v>
      </c>
      <c r="Z16" s="4">
        <v>1.2845119260271094</v>
      </c>
      <c r="AA16" s="4">
        <v>1.1876575800021549</v>
      </c>
      <c r="AB16" s="4">
        <v>1.0770776255707764</v>
      </c>
      <c r="AC16" s="4">
        <v>1.0571266968325792</v>
      </c>
      <c r="AD16" s="4">
        <v>1.3549581839904421</v>
      </c>
      <c r="AE16" s="4">
        <v>1.0664556962025316</v>
      </c>
      <c r="AF16" s="28">
        <v>0.64039215686274509</v>
      </c>
      <c r="AG16" s="28">
        <v>1.3534290271132376</v>
      </c>
      <c r="AH16" s="28">
        <v>1.5750000000000002</v>
      </c>
    </row>
    <row r="17" spans="1:34" x14ac:dyDescent="0.3">
      <c r="A17" s="24" t="s">
        <v>15</v>
      </c>
      <c r="B17" s="6" t="s">
        <v>74</v>
      </c>
      <c r="C17" s="4" t="s">
        <v>18</v>
      </c>
      <c r="D17" s="4" t="s">
        <v>10</v>
      </c>
      <c r="E17" s="5">
        <v>-0.01</v>
      </c>
      <c r="F17" s="5">
        <v>0.06</v>
      </c>
      <c r="G17" s="5">
        <v>0.97</v>
      </c>
      <c r="H17" s="5">
        <v>7.0000000000000007E-2</v>
      </c>
      <c r="I17" s="5">
        <v>0.37247496024539473</v>
      </c>
      <c r="J17" s="5">
        <v>0.28568915068083178</v>
      </c>
      <c r="K17" s="5">
        <v>1.6281148658148226E-2</v>
      </c>
      <c r="L17" s="5">
        <v>0.18959007561329466</v>
      </c>
      <c r="M17" s="5">
        <v>2.0006307856155203</v>
      </c>
      <c r="N17" s="5">
        <v>0.22362954519188574</v>
      </c>
      <c r="O17" s="4">
        <v>0.56563315455242547</v>
      </c>
      <c r="P17" s="4">
        <v>0.91052297437932228</v>
      </c>
      <c r="Q17" s="5">
        <v>0.93430182316148991</v>
      </c>
      <c r="R17" s="5">
        <f t="shared" si="0"/>
        <v>1.0982699263373026</v>
      </c>
      <c r="S17" s="5">
        <f t="shared" si="0"/>
        <v>1.0703179371053784</v>
      </c>
      <c r="T17" s="4">
        <v>1.126938085688638</v>
      </c>
      <c r="U17" s="4">
        <f t="shared" si="1"/>
        <v>1.1131107465357604</v>
      </c>
      <c r="V17" s="5">
        <v>1.2992753922632279</v>
      </c>
      <c r="W17" s="4">
        <f t="shared" si="2"/>
        <v>0.76965977032635446</v>
      </c>
      <c r="X17" s="4">
        <v>1.2662076273149852</v>
      </c>
      <c r="Y17" s="4">
        <f t="shared" si="3"/>
        <v>0.78975989279145087</v>
      </c>
      <c r="Z17" s="4">
        <v>1.3906377575789595</v>
      </c>
      <c r="AA17" s="4">
        <v>1.2339965923941443</v>
      </c>
      <c r="AB17" s="4">
        <v>1.24932560565687</v>
      </c>
      <c r="AC17" s="4">
        <v>0.47972850801697059</v>
      </c>
      <c r="AD17" s="4">
        <v>1.4243693046266406</v>
      </c>
      <c r="AE17" s="4">
        <v>1.0145683719411294</v>
      </c>
      <c r="AF17" s="28">
        <v>0.79603068241496699</v>
      </c>
      <c r="AG17" s="28">
        <v>0.68236927573239536</v>
      </c>
      <c r="AH17" s="28">
        <v>0.80734491312484702</v>
      </c>
    </row>
    <row r="18" spans="1:34" x14ac:dyDescent="0.3">
      <c r="A18" s="24" t="s">
        <v>15</v>
      </c>
      <c r="B18" s="6" t="s">
        <v>74</v>
      </c>
      <c r="C18" s="4" t="s">
        <v>18</v>
      </c>
      <c r="D18" s="1" t="s">
        <v>11</v>
      </c>
      <c r="E18" s="5">
        <v>0.26</v>
      </c>
      <c r="F18" s="5">
        <v>0.16</v>
      </c>
      <c r="G18" s="5">
        <v>1.32</v>
      </c>
      <c r="H18" s="5">
        <v>0.22</v>
      </c>
      <c r="I18" s="5">
        <v>0.32</v>
      </c>
      <c r="J18" s="5">
        <v>0.15</v>
      </c>
      <c r="K18" s="5">
        <v>-0.03</v>
      </c>
      <c r="L18" s="5">
        <v>0.02</v>
      </c>
      <c r="M18" s="5">
        <v>2.67</v>
      </c>
      <c r="N18" s="5">
        <v>0.15</v>
      </c>
      <c r="O18" s="4">
        <v>0.8818168930432182</v>
      </c>
      <c r="P18" s="4">
        <v>0.96746462575833525</v>
      </c>
      <c r="Q18" s="5">
        <v>1.0116595315610928</v>
      </c>
      <c r="R18" s="5">
        <f t="shared" si="0"/>
        <v>1.0336295233700792</v>
      </c>
      <c r="S18" s="5">
        <f t="shared" si="0"/>
        <v>0.98847484633184746</v>
      </c>
      <c r="T18" s="4">
        <v>1.0878807082844333</v>
      </c>
      <c r="U18" s="4">
        <f t="shared" si="1"/>
        <v>1.0436621060933349</v>
      </c>
      <c r="V18" s="5">
        <v>1.3822222222222222</v>
      </c>
      <c r="W18" s="4">
        <f t="shared" si="2"/>
        <v>0.72347266881028938</v>
      </c>
      <c r="X18" s="4">
        <v>1.3218390804597702</v>
      </c>
      <c r="Y18" s="4">
        <f t="shared" si="3"/>
        <v>0.75652173913043474</v>
      </c>
      <c r="Z18" s="4">
        <v>1.3662918987075758</v>
      </c>
      <c r="AA18" s="4">
        <v>1.255920698200625</v>
      </c>
      <c r="AB18" s="4">
        <v>1.3091324200913241</v>
      </c>
      <c r="AC18" s="4">
        <v>1.3016968325791856</v>
      </c>
      <c r="AD18" s="4">
        <v>1.422700119474313</v>
      </c>
      <c r="AE18" s="4">
        <v>1.029535864978903</v>
      </c>
      <c r="AF18" s="28"/>
      <c r="AG18" s="28">
        <v>1.339712918660287</v>
      </c>
      <c r="AH18" s="28">
        <v>1.2980769230769231</v>
      </c>
    </row>
    <row r="19" spans="1:34" x14ac:dyDescent="0.3">
      <c r="A19" s="24" t="s">
        <v>15</v>
      </c>
      <c r="B19" s="6" t="s">
        <v>74</v>
      </c>
      <c r="C19" s="4" t="s">
        <v>18</v>
      </c>
      <c r="D19" s="1" t="s">
        <v>12</v>
      </c>
      <c r="E19" s="5">
        <v>0.19</v>
      </c>
      <c r="F19" s="5">
        <v>0.04</v>
      </c>
      <c r="G19" s="5">
        <v>1.28</v>
      </c>
      <c r="H19" s="5">
        <v>0.11</v>
      </c>
      <c r="I19" s="5">
        <v>0.48</v>
      </c>
      <c r="J19" s="5">
        <v>0.12</v>
      </c>
      <c r="K19" s="5">
        <v>-0.09</v>
      </c>
      <c r="L19" s="5">
        <v>7.0000000000000007E-2</v>
      </c>
      <c r="M19" s="5">
        <v>2.65</v>
      </c>
      <c r="N19" s="5">
        <v>0.12</v>
      </c>
      <c r="O19" s="4">
        <v>1.0982758678833138</v>
      </c>
      <c r="P19" s="4">
        <v>0.87698940723284813</v>
      </c>
      <c r="Q19" s="5">
        <v>1.0166560098197068</v>
      </c>
      <c r="R19" s="5">
        <f t="shared" si="0"/>
        <v>1.1402646277738808</v>
      </c>
      <c r="S19" s="5">
        <f t="shared" si="0"/>
        <v>0.9836168677912398</v>
      </c>
      <c r="T19" s="4">
        <v>1.1081180441794187</v>
      </c>
      <c r="U19" s="4">
        <f t="shared" si="1"/>
        <v>1.1377495635363897</v>
      </c>
      <c r="V19" s="5">
        <v>1.3866666666666667</v>
      </c>
      <c r="W19" s="4">
        <f t="shared" si="2"/>
        <v>0.72115384615384615</v>
      </c>
      <c r="X19" s="4">
        <v>1.1961685823754789</v>
      </c>
      <c r="Y19" s="4">
        <f t="shared" si="3"/>
        <v>0.83600256245996163</v>
      </c>
      <c r="Z19" s="4">
        <v>1.3639487233371861</v>
      </c>
      <c r="AA19" s="4">
        <v>1.2308695183708651</v>
      </c>
      <c r="AB19" s="4">
        <v>1.1988127853881279</v>
      </c>
      <c r="AC19" s="4">
        <v>1.506447963800905</v>
      </c>
      <c r="AD19" s="4">
        <v>1.4375149342891278</v>
      </c>
      <c r="AE19" s="4">
        <v>1.0195147679324894</v>
      </c>
      <c r="AF19" s="28">
        <v>0.68509803921568624</v>
      </c>
      <c r="AG19" s="28">
        <v>1.3068580542264754</v>
      </c>
      <c r="AH19" s="28">
        <v>1.4394230769230769</v>
      </c>
    </row>
    <row r="20" spans="1:34" x14ac:dyDescent="0.3">
      <c r="A20" s="25" t="s">
        <v>19</v>
      </c>
      <c r="B20" s="6" t="s">
        <v>74</v>
      </c>
      <c r="C20" s="10" t="s">
        <v>20</v>
      </c>
      <c r="D20" s="4" t="s">
        <v>10</v>
      </c>
      <c r="E20" s="12">
        <v>0.10506081780436993</v>
      </c>
      <c r="F20" s="12">
        <v>9.1456011276605367E-2</v>
      </c>
      <c r="G20" s="12">
        <v>0.83651660681804962</v>
      </c>
      <c r="H20" s="12">
        <v>8.9368203190597739E-2</v>
      </c>
      <c r="I20" s="12">
        <v>0.46</v>
      </c>
      <c r="J20" s="12">
        <v>0.11</v>
      </c>
      <c r="K20" s="12">
        <v>0</v>
      </c>
      <c r="L20" s="12">
        <v>0.1</v>
      </c>
      <c r="M20" s="12">
        <v>2.84</v>
      </c>
      <c r="N20" s="13">
        <v>0.15</v>
      </c>
      <c r="O20" s="5">
        <v>1.2027951343758299</v>
      </c>
      <c r="P20" s="5">
        <v>0.99823485336270834</v>
      </c>
      <c r="Q20" s="5">
        <v>1.0273076777581565</v>
      </c>
      <c r="R20" s="5">
        <f t="shared" si="0"/>
        <v>1.0017682678894104</v>
      </c>
      <c r="S20" s="5">
        <f t="shared" si="0"/>
        <v>0.97341820921873312</v>
      </c>
      <c r="T20" s="4">
        <v>1.0090165852673671</v>
      </c>
      <c r="U20" s="4">
        <f t="shared" si="1"/>
        <v>1.0079012736960071</v>
      </c>
      <c r="V20" s="5">
        <v>1.2034009126362895</v>
      </c>
      <c r="W20" s="4">
        <f t="shared" si="2"/>
        <v>0.83097826293757815</v>
      </c>
      <c r="X20" s="5">
        <v>1.1693446467600861</v>
      </c>
      <c r="Y20" s="4">
        <f t="shared" si="3"/>
        <v>0.8551798674331893</v>
      </c>
      <c r="Z20" s="4">
        <v>1.171412361350606</v>
      </c>
      <c r="AA20" s="4">
        <v>1.1609446053259942</v>
      </c>
      <c r="AB20" s="4">
        <v>1.1622292697924652</v>
      </c>
      <c r="AC20" s="4">
        <v>1.419225808176154</v>
      </c>
      <c r="AD20" s="4">
        <v>1.2879367737935508</v>
      </c>
      <c r="AE20" s="4">
        <v>0.96382050003185116</v>
      </c>
      <c r="AF20" s="28">
        <v>0.4827785024171774</v>
      </c>
      <c r="AG20" s="28">
        <v>1.2216924745912816</v>
      </c>
      <c r="AH20" s="28">
        <v>1.3914385293834495</v>
      </c>
    </row>
    <row r="21" spans="1:34" x14ac:dyDescent="0.3">
      <c r="A21" s="25" t="s">
        <v>19</v>
      </c>
      <c r="B21" s="6" t="s">
        <v>74</v>
      </c>
      <c r="C21" s="14" t="s">
        <v>21</v>
      </c>
      <c r="D21" s="4" t="s">
        <v>10</v>
      </c>
      <c r="E21" s="5">
        <v>0.20903863075016904</v>
      </c>
      <c r="F21" s="5">
        <v>3.7514198494460714E-2</v>
      </c>
      <c r="G21" s="5">
        <v>1.2685306213934544</v>
      </c>
      <c r="H21" s="5">
        <v>0.10796788281343357</v>
      </c>
      <c r="I21" s="5">
        <v>0.43</v>
      </c>
      <c r="J21" s="5">
        <v>0.14000000000000001</v>
      </c>
      <c r="K21" s="5">
        <v>-0.03</v>
      </c>
      <c r="L21" s="5">
        <v>0.1</v>
      </c>
      <c r="M21" s="5">
        <v>3.31</v>
      </c>
      <c r="N21" s="5">
        <v>0.18</v>
      </c>
      <c r="O21" s="5">
        <v>1.1160776495124001</v>
      </c>
      <c r="P21" s="5">
        <v>0.95128986154486705</v>
      </c>
      <c r="Q21" s="5">
        <v>0.99579950820061613</v>
      </c>
      <c r="R21" s="5">
        <f t="shared" si="0"/>
        <v>1.0512043073559401</v>
      </c>
      <c r="S21" s="5">
        <f t="shared" si="0"/>
        <v>1.0042182103573982</v>
      </c>
      <c r="T21" s="4">
        <v>1.0404449992258269</v>
      </c>
      <c r="U21" s="4">
        <f t="shared" si="1"/>
        <v>1.0216187795146803</v>
      </c>
      <c r="V21" s="5">
        <v>1.1530040195459763</v>
      </c>
      <c r="W21" s="4">
        <f t="shared" si="2"/>
        <v>0.86729966509030432</v>
      </c>
      <c r="X21" s="5">
        <v>1.1014677403250883</v>
      </c>
      <c r="Y21" s="4">
        <f t="shared" si="3"/>
        <v>0.90787951692970958</v>
      </c>
      <c r="Z21" s="4">
        <v>1.1578676330433468</v>
      </c>
      <c r="AA21" s="4">
        <v>1.1128580885149062</v>
      </c>
      <c r="AB21" s="4">
        <v>1.1333656509264558</v>
      </c>
      <c r="AC21" s="4">
        <v>1.2080512437759658</v>
      </c>
      <c r="AD21" s="4">
        <v>1.2160082156415564</v>
      </c>
      <c r="AE21" s="4">
        <v>0.91256836170259348</v>
      </c>
      <c r="AF21" s="28">
        <v>0.47267030430937479</v>
      </c>
      <c r="AG21" s="28">
        <v>1.129213315996497</v>
      </c>
      <c r="AH21" s="28">
        <v>1.2916894447068337</v>
      </c>
    </row>
    <row r="22" spans="1:34" x14ac:dyDescent="0.3">
      <c r="A22" s="25" t="s">
        <v>19</v>
      </c>
      <c r="B22" s="6" t="s">
        <v>74</v>
      </c>
      <c r="C22" s="16" t="s">
        <v>22</v>
      </c>
      <c r="D22" s="4" t="s">
        <v>10</v>
      </c>
      <c r="E22" s="5">
        <v>0.23376142423949173</v>
      </c>
      <c r="F22" s="5">
        <v>7.6462158776685774E-2</v>
      </c>
      <c r="G22" s="5">
        <v>1.1020264767352168</v>
      </c>
      <c r="H22" s="5">
        <v>0.18849739622338543</v>
      </c>
      <c r="I22" s="5">
        <v>0.34</v>
      </c>
      <c r="J22" s="5">
        <v>0.17</v>
      </c>
      <c r="K22" s="5">
        <v>0.05</v>
      </c>
      <c r="L22" s="5">
        <v>0.06</v>
      </c>
      <c r="M22" s="17">
        <v>2.86</v>
      </c>
      <c r="N22" s="17">
        <v>0.11</v>
      </c>
      <c r="O22" s="5">
        <v>1.016998333121812</v>
      </c>
      <c r="P22" s="5">
        <v>0.92469894967211308</v>
      </c>
      <c r="Q22" s="5">
        <v>0.93648736202758842</v>
      </c>
      <c r="R22" s="5">
        <f t="shared" si="0"/>
        <v>1.0814330440783866</v>
      </c>
      <c r="S22" s="5">
        <f t="shared" si="0"/>
        <v>1.0678200694934104</v>
      </c>
      <c r="T22" s="4">
        <v>1.081217883771185</v>
      </c>
      <c r="U22" s="4">
        <f t="shared" si="1"/>
        <v>1.0893016019577493</v>
      </c>
      <c r="V22" s="5">
        <v>1.1343644451161095</v>
      </c>
      <c r="W22" s="4">
        <f t="shared" si="2"/>
        <v>0.88155090218615195</v>
      </c>
      <c r="X22" s="5">
        <v>1.120085175173303</v>
      </c>
      <c r="Y22" s="4">
        <f t="shared" si="3"/>
        <v>0.89278924689390426</v>
      </c>
      <c r="Z22" s="4">
        <v>1.2112971206147378</v>
      </c>
      <c r="AA22" s="4">
        <v>1.1203080699977408</v>
      </c>
      <c r="AB22" s="4">
        <v>1.1119942524987863</v>
      </c>
      <c r="AC22" s="4">
        <v>1.3727820565674729</v>
      </c>
      <c r="AD22" s="4">
        <v>1.1454549548522386</v>
      </c>
      <c r="AE22" s="4">
        <v>0.92501422895864072</v>
      </c>
      <c r="AF22" s="28">
        <v>0.32348591432152696</v>
      </c>
      <c r="AG22" s="28">
        <v>1.0269023685846044</v>
      </c>
      <c r="AH22" s="28">
        <v>1.2291370592003736</v>
      </c>
    </row>
    <row r="23" spans="1:34" x14ac:dyDescent="0.3">
      <c r="A23" s="25" t="s">
        <v>19</v>
      </c>
      <c r="B23" s="6" t="s">
        <v>74</v>
      </c>
      <c r="C23" s="16" t="s">
        <v>23</v>
      </c>
      <c r="D23" s="4" t="s">
        <v>10</v>
      </c>
      <c r="E23" s="5">
        <v>0.30946260264785863</v>
      </c>
      <c r="F23" s="5">
        <v>3.72543620434116E-2</v>
      </c>
      <c r="G23" s="5">
        <v>1.1969515318743795</v>
      </c>
      <c r="H23" s="5">
        <v>8.5216318987672263E-2</v>
      </c>
      <c r="I23" s="5">
        <v>0.35</v>
      </c>
      <c r="J23" s="5">
        <v>0.16</v>
      </c>
      <c r="K23" s="5">
        <v>-0.01</v>
      </c>
      <c r="L23" s="5">
        <v>0.08</v>
      </c>
      <c r="M23" s="17">
        <v>2.57</v>
      </c>
      <c r="N23" s="5">
        <v>0.08</v>
      </c>
      <c r="O23" s="5">
        <v>1.1904320192618822</v>
      </c>
      <c r="P23" s="5">
        <v>1.0274061376114321</v>
      </c>
      <c r="Q23" s="5">
        <v>1.0577052066699433</v>
      </c>
      <c r="R23" s="5">
        <f t="shared" si="0"/>
        <v>0.97332492321376696</v>
      </c>
      <c r="S23" s="5">
        <f t="shared" si="0"/>
        <v>0.94544301540159648</v>
      </c>
      <c r="T23" s="4">
        <v>0.90211972754101188</v>
      </c>
      <c r="U23" s="4">
        <f t="shared" si="1"/>
        <v>0.88825832971464236</v>
      </c>
      <c r="V23" s="5">
        <v>1.1550168547521988</v>
      </c>
      <c r="W23" s="4">
        <f t="shared" si="2"/>
        <v>0.86578823147523964</v>
      </c>
      <c r="X23" s="5">
        <v>1.1219301920174454</v>
      </c>
      <c r="Y23" s="4">
        <f t="shared" si="3"/>
        <v>0.89132105287389451</v>
      </c>
      <c r="Z23" s="4">
        <v>1.0920026179965867</v>
      </c>
      <c r="AA23" s="4">
        <v>1.210485243431219</v>
      </c>
      <c r="AB23" s="4">
        <v>1.2293750381686803</v>
      </c>
      <c r="AC23" s="4">
        <v>1.1126830923746749</v>
      </c>
      <c r="AD23" s="4">
        <v>1.1322759767701649</v>
      </c>
      <c r="AE23" s="4">
        <v>0.94656337542528302</v>
      </c>
      <c r="AF23" s="28">
        <v>0.21042358798730856</v>
      </c>
      <c r="AG23" s="28">
        <v>1.3199904713631305</v>
      </c>
      <c r="AH23" s="28">
        <v>1.4325069593953468</v>
      </c>
    </row>
    <row r="24" spans="1:34" x14ac:dyDescent="0.3">
      <c r="A24" s="25" t="s">
        <v>19</v>
      </c>
      <c r="B24" s="6" t="s">
        <v>74</v>
      </c>
      <c r="C24" s="16" t="s">
        <v>24</v>
      </c>
      <c r="D24" s="4" t="s">
        <v>10</v>
      </c>
      <c r="E24" s="5">
        <v>0.2</v>
      </c>
      <c r="F24" s="5">
        <v>0.05</v>
      </c>
      <c r="G24" s="5">
        <v>0.97</v>
      </c>
      <c r="H24" s="5">
        <v>0.1</v>
      </c>
      <c r="I24" s="5">
        <v>0.34</v>
      </c>
      <c r="J24" s="5">
        <v>0.03</v>
      </c>
      <c r="K24" s="5">
        <v>0.11</v>
      </c>
      <c r="L24" s="5">
        <v>7.0000000000000007E-2</v>
      </c>
      <c r="M24" s="5">
        <v>3.33</v>
      </c>
      <c r="N24" s="5">
        <v>7.0000000000000007E-2</v>
      </c>
      <c r="O24" s="5">
        <v>1.0490015865618987</v>
      </c>
      <c r="P24" s="5">
        <v>0.91805113771121849</v>
      </c>
      <c r="Q24" s="5">
        <v>0.92522308186331059</v>
      </c>
      <c r="R24" s="5">
        <f t="shared" si="0"/>
        <v>1.0892639406701103</v>
      </c>
      <c r="S24" s="5">
        <f t="shared" si="0"/>
        <v>1.0808204200722014</v>
      </c>
      <c r="T24" s="4">
        <v>1.0789346925576166</v>
      </c>
      <c r="U24" s="4">
        <f t="shared" si="1"/>
        <v>1.0939910817149219</v>
      </c>
      <c r="V24" s="5">
        <v>1.097265086266962</v>
      </c>
      <c r="W24" s="4">
        <f t="shared" si="2"/>
        <v>0.91135680203051905</v>
      </c>
      <c r="X24" s="5">
        <v>1.0887595441193334</v>
      </c>
      <c r="Y24" s="4">
        <f t="shared" si="3"/>
        <v>0.91847644909406656</v>
      </c>
      <c r="Z24" s="4">
        <v>1.1859465114696179</v>
      </c>
      <c r="AA24" s="4">
        <v>1.0991828510568415</v>
      </c>
      <c r="AB24" s="4">
        <v>1.0840550085751597</v>
      </c>
      <c r="AC24" s="4">
        <v>1.3824955619499355</v>
      </c>
      <c r="AD24" s="4">
        <v>1.1830270335531039</v>
      </c>
      <c r="AE24" s="4">
        <v>0.91465541374956216</v>
      </c>
      <c r="AF24" s="28">
        <v>0.69106561266913358</v>
      </c>
      <c r="AG24" s="28">
        <v>1.141789824638737</v>
      </c>
      <c r="AH24" s="28">
        <v>1.2638730343709579</v>
      </c>
    </row>
    <row r="25" spans="1:34" x14ac:dyDescent="0.3">
      <c r="A25" s="25" t="s">
        <v>19</v>
      </c>
      <c r="B25" s="6" t="s">
        <v>74</v>
      </c>
      <c r="C25" s="18" t="s">
        <v>25</v>
      </c>
      <c r="D25" s="4" t="s">
        <v>10</v>
      </c>
      <c r="E25" s="8">
        <v>0.30103416096022295</v>
      </c>
      <c r="F25" s="8">
        <v>4.2177906548147126E-2</v>
      </c>
      <c r="G25" s="8">
        <v>1.2589064192158883</v>
      </c>
      <c r="H25" s="8">
        <v>0.10859492841159051</v>
      </c>
      <c r="I25" s="8">
        <v>0.57999999999999996</v>
      </c>
      <c r="J25" s="8">
        <v>0.13</v>
      </c>
      <c r="K25" s="8">
        <v>0.05</v>
      </c>
      <c r="L25" s="8">
        <v>7.0000000000000007E-2</v>
      </c>
      <c r="M25" s="8">
        <v>3.4</v>
      </c>
      <c r="N25" s="19">
        <v>0.11</v>
      </c>
      <c r="O25" s="5">
        <v>1.0745201545235634</v>
      </c>
      <c r="P25" s="5">
        <v>0.91282767869801851</v>
      </c>
      <c r="Q25" s="5">
        <v>0.91339532480525376</v>
      </c>
      <c r="R25" s="5">
        <f t="shared" si="0"/>
        <v>1.0954970180421313</v>
      </c>
      <c r="S25" s="5">
        <f t="shared" si="0"/>
        <v>1.0948162015315892</v>
      </c>
      <c r="T25" s="4">
        <v>1.1796025788871554</v>
      </c>
      <c r="U25" s="4">
        <f t="shared" si="1"/>
        <v>1.1754920531351101</v>
      </c>
      <c r="V25" s="5">
        <v>1.069962574276726</v>
      </c>
      <c r="W25" s="4">
        <f t="shared" si="2"/>
        <v>0.93461212947189354</v>
      </c>
      <c r="X25" s="5">
        <v>1.0692976266098382</v>
      </c>
      <c r="Y25" s="4">
        <f t="shared" si="3"/>
        <v>0.93519332234043828</v>
      </c>
      <c r="Z25" s="4">
        <v>1.171412361350606</v>
      </c>
      <c r="AA25" s="4">
        <v>0.99305679922785861</v>
      </c>
      <c r="AB25" s="4">
        <v>0.99652937527427499</v>
      </c>
      <c r="AC25" s="4">
        <v>1.1513935117817553</v>
      </c>
      <c r="AD25" s="4">
        <v>1.0668530833644092</v>
      </c>
      <c r="AE25" s="4">
        <v>0.83486441465651962</v>
      </c>
      <c r="AF25" s="28">
        <v>0.74202613104368642</v>
      </c>
      <c r="AG25" s="28">
        <v>1.1907737344992961</v>
      </c>
      <c r="AH25" s="28">
        <v>1.2753743595973699</v>
      </c>
    </row>
    <row r="26" spans="1:34" x14ac:dyDescent="0.3">
      <c r="A26" s="25" t="s">
        <v>26</v>
      </c>
      <c r="B26" s="6" t="s">
        <v>74</v>
      </c>
      <c r="C26" s="14" t="s">
        <v>27</v>
      </c>
      <c r="D26" s="4" t="s">
        <v>10</v>
      </c>
      <c r="E26" s="4">
        <v>0.15</v>
      </c>
      <c r="F26" s="4">
        <v>0.05</v>
      </c>
      <c r="G26" s="4">
        <v>1.1599999999999999</v>
      </c>
      <c r="H26" s="4">
        <v>7.0000000000000007E-2</v>
      </c>
      <c r="I26" s="4">
        <v>0.56999999999999995</v>
      </c>
      <c r="J26" s="4">
        <v>0.26</v>
      </c>
      <c r="K26" s="4">
        <v>-0.04</v>
      </c>
      <c r="L26" s="4">
        <v>0.14000000000000001</v>
      </c>
      <c r="M26" s="4">
        <v>1.85</v>
      </c>
      <c r="N26" s="4">
        <v>0.13</v>
      </c>
      <c r="O26" s="4">
        <v>0.92418300063819381</v>
      </c>
      <c r="P26" s="4">
        <v>0.95</v>
      </c>
      <c r="Q26" s="5">
        <v>0.80934125014365788</v>
      </c>
      <c r="R26" s="5">
        <f t="shared" si="0"/>
        <v>1.0526315789473684</v>
      </c>
      <c r="S26" s="5">
        <f t="shared" si="0"/>
        <v>1.235572757254743</v>
      </c>
      <c r="T26" s="4">
        <v>0.90498947229352456</v>
      </c>
      <c r="U26" s="4">
        <f t="shared" si="1"/>
        <v>0.92871320279551273</v>
      </c>
      <c r="V26" s="5">
        <v>1.0630354905944757</v>
      </c>
      <c r="W26" s="4">
        <f t="shared" si="2"/>
        <v>0.940702364923654</v>
      </c>
      <c r="X26" s="5">
        <v>1.3298053602548516</v>
      </c>
      <c r="Y26" s="4">
        <f t="shared" si="3"/>
        <v>0.75198974969416144</v>
      </c>
      <c r="Z26" s="4">
        <v>1.3134576921734646</v>
      </c>
      <c r="AA26" s="4">
        <v>1.4513513498060422</v>
      </c>
      <c r="AB26" s="4">
        <v>1.4142769675501925</v>
      </c>
      <c r="AC26" s="4">
        <v>1.1306344721755717</v>
      </c>
      <c r="AD26" s="4">
        <v>1.0945343366265443</v>
      </c>
      <c r="AE26" s="4">
        <v>0.75486210017367394</v>
      </c>
      <c r="AF26" s="28">
        <v>0.2684176218794101</v>
      </c>
      <c r="AG26" s="28">
        <v>1.1093164474223667</v>
      </c>
      <c r="AH26" s="28">
        <v>1.2308014712882127</v>
      </c>
    </row>
    <row r="27" spans="1:34" x14ac:dyDescent="0.3">
      <c r="A27" s="25" t="s">
        <v>26</v>
      </c>
      <c r="B27" s="6" t="s">
        <v>74</v>
      </c>
      <c r="C27" s="14" t="s">
        <v>28</v>
      </c>
      <c r="D27" s="4" t="s">
        <v>10</v>
      </c>
      <c r="E27" s="4">
        <v>0.2</v>
      </c>
      <c r="F27" s="4">
        <v>0.04</v>
      </c>
      <c r="G27" s="4">
        <v>1.32</v>
      </c>
      <c r="H27" s="4">
        <v>0.09</v>
      </c>
      <c r="I27" s="4">
        <v>0.4</v>
      </c>
      <c r="J27" s="4">
        <v>0.27</v>
      </c>
      <c r="K27" s="4">
        <v>0</v>
      </c>
      <c r="L27" s="4">
        <v>0.11</v>
      </c>
      <c r="M27" s="4">
        <v>1.53</v>
      </c>
      <c r="N27" s="4">
        <v>0.17</v>
      </c>
      <c r="O27" s="4">
        <v>0.84875649822000787</v>
      </c>
      <c r="P27" s="4">
        <v>0.96256873813477228</v>
      </c>
      <c r="Q27" s="5">
        <v>0.74699207522415656</v>
      </c>
      <c r="R27" s="5">
        <f t="shared" si="0"/>
        <v>1.0388868455646716</v>
      </c>
      <c r="S27" s="5">
        <f t="shared" si="0"/>
        <v>1.3387022877048878</v>
      </c>
      <c r="T27" s="4">
        <v>1.0008263623285594</v>
      </c>
      <c r="U27" s="4">
        <f t="shared" si="1"/>
        <v>0.9695762622340911</v>
      </c>
      <c r="V27" s="5">
        <v>1.0102629335065236</v>
      </c>
      <c r="W27" s="4">
        <f t="shared" si="2"/>
        <v>0.98984132430663174</v>
      </c>
      <c r="X27" s="5">
        <v>1.3018177158009299</v>
      </c>
      <c r="Y27" s="4">
        <f t="shared" si="3"/>
        <v>0.76815669956124411</v>
      </c>
      <c r="Z27" s="4">
        <v>1.3524413002686342</v>
      </c>
      <c r="AA27" s="4">
        <v>1.351324616511894</v>
      </c>
      <c r="AB27" s="4">
        <v>1.3948787248074206</v>
      </c>
      <c r="AC27" s="4">
        <v>1.0800720797799563</v>
      </c>
      <c r="AD27" s="4">
        <v>1.0113941553787198</v>
      </c>
      <c r="AE27" s="4">
        <v>0.77035675919441793</v>
      </c>
      <c r="AF27" s="28">
        <v>0.17221157729716258</v>
      </c>
      <c r="AG27" s="28">
        <v>1.0319964867938529</v>
      </c>
      <c r="AH27" s="28">
        <v>1.1489246943275053</v>
      </c>
    </row>
    <row r="28" spans="1:34" x14ac:dyDescent="0.3">
      <c r="A28" s="25" t="s">
        <v>26</v>
      </c>
      <c r="B28" s="6" t="s">
        <v>74</v>
      </c>
      <c r="C28" s="20" t="s">
        <v>29</v>
      </c>
      <c r="D28" s="4" t="s">
        <v>10</v>
      </c>
      <c r="E28" s="21">
        <v>0.25</v>
      </c>
      <c r="F28" s="21">
        <v>0.05</v>
      </c>
      <c r="G28" s="21">
        <v>1.3</v>
      </c>
      <c r="H28" s="21">
        <v>0.09</v>
      </c>
      <c r="I28" s="9">
        <v>0.15</v>
      </c>
      <c r="J28" s="9">
        <v>0.13</v>
      </c>
      <c r="K28" s="9">
        <v>-0.08</v>
      </c>
      <c r="L28" s="9">
        <v>0.03</v>
      </c>
      <c r="M28" s="9">
        <v>1.85</v>
      </c>
      <c r="N28" s="9">
        <v>0.12</v>
      </c>
      <c r="O28" s="4">
        <v>1.0063070951829576</v>
      </c>
      <c r="P28" s="4">
        <v>0.94323760075901975</v>
      </c>
      <c r="Q28" s="5">
        <v>0.86605157830222401</v>
      </c>
      <c r="R28" s="5">
        <f t="shared" si="0"/>
        <v>1.0601782617606674</v>
      </c>
      <c r="S28" s="5">
        <f t="shared" si="0"/>
        <v>1.1546656400769613</v>
      </c>
      <c r="T28" s="4">
        <v>1.1284557483625859</v>
      </c>
      <c r="U28" s="4">
        <f t="shared" si="1"/>
        <v>1.1097941794127577</v>
      </c>
      <c r="V28" s="5">
        <v>1.1190643362068304</v>
      </c>
      <c r="W28" s="4">
        <f t="shared" si="2"/>
        <v>0.89360367196544777</v>
      </c>
      <c r="X28" s="5">
        <v>1.2187998798500719</v>
      </c>
      <c r="Y28" s="4">
        <f t="shared" si="3"/>
        <v>0.82047924071260403</v>
      </c>
      <c r="Z28" s="4">
        <v>1.2921451380535596</v>
      </c>
      <c r="AA28" s="4">
        <v>1.1450560998324397</v>
      </c>
      <c r="AB28" s="4">
        <v>1.1643106100423883</v>
      </c>
      <c r="AC28" s="4">
        <v>1.6541612038683764</v>
      </c>
      <c r="AD28" s="4">
        <v>1.1519984847603211</v>
      </c>
      <c r="AE28" s="4">
        <v>0.86558380020153292</v>
      </c>
      <c r="AF28" s="28">
        <v>0.67240750491268531</v>
      </c>
      <c r="AG28" s="28">
        <v>1.1704012428749453</v>
      </c>
      <c r="AH28" s="28">
        <v>1.3082173410143112</v>
      </c>
    </row>
    <row r="29" spans="1:34" x14ac:dyDescent="0.3">
      <c r="A29" s="25" t="s">
        <v>30</v>
      </c>
      <c r="B29" s="6" t="s">
        <v>74</v>
      </c>
      <c r="C29" s="22" t="s">
        <v>31</v>
      </c>
      <c r="D29" s="4" t="s">
        <v>10</v>
      </c>
      <c r="E29" s="23">
        <v>0.28999999999999998</v>
      </c>
      <c r="F29" s="23">
        <v>0.08</v>
      </c>
      <c r="G29" s="23">
        <v>1.06</v>
      </c>
      <c r="H29" s="23">
        <v>0.06</v>
      </c>
      <c r="I29" s="23">
        <v>0.17</v>
      </c>
      <c r="J29" s="23">
        <v>0.12</v>
      </c>
      <c r="K29" s="23">
        <v>0.1</v>
      </c>
      <c r="L29" s="23">
        <v>0.08</v>
      </c>
      <c r="M29" s="23">
        <v>3.1</v>
      </c>
      <c r="N29" s="23">
        <v>0.11</v>
      </c>
      <c r="O29" s="5">
        <v>1.160456002338806</v>
      </c>
      <c r="P29" s="5">
        <v>0.91647460546777137</v>
      </c>
      <c r="Q29" s="5">
        <v>0.99898407862025174</v>
      </c>
      <c r="R29" s="5">
        <f t="shared" si="0"/>
        <v>1.0911377075086517</v>
      </c>
      <c r="S29" s="5">
        <f t="shared" si="0"/>
        <v>1.0010169545255931</v>
      </c>
      <c r="T29" s="4">
        <v>1.1155279438696633</v>
      </c>
      <c r="U29" s="4">
        <f t="shared" si="1"/>
        <v>1.1575177606826288</v>
      </c>
      <c r="V29" s="5">
        <v>1.285410912863971</v>
      </c>
      <c r="W29" s="4">
        <f t="shared" si="2"/>
        <v>0.77796134293892161</v>
      </c>
      <c r="X29" s="5">
        <v>1.1792444789090495</v>
      </c>
      <c r="Y29" s="4">
        <f t="shared" si="3"/>
        <v>0.84800057823898112</v>
      </c>
      <c r="Z29" s="4">
        <v>1.2867181173090547</v>
      </c>
      <c r="AA29" s="4">
        <v>1.1534611251830669</v>
      </c>
      <c r="AB29" s="4">
        <v>1.1116184658369579</v>
      </c>
      <c r="AC29" s="4">
        <v>1.3629458809818289</v>
      </c>
      <c r="AD29" s="4">
        <v>1.3582847269003768</v>
      </c>
      <c r="AE29" s="4">
        <v>0.77631224028318724</v>
      </c>
      <c r="AF29" s="28">
        <v>0.18736655598578919</v>
      </c>
      <c r="AG29" s="28">
        <v>1.2440910837585413</v>
      </c>
      <c r="AH29" s="28">
        <v>1.502700611239898</v>
      </c>
    </row>
    <row r="30" spans="1:34" x14ac:dyDescent="0.3">
      <c r="A30" s="25" t="s">
        <v>30</v>
      </c>
      <c r="B30" s="6" t="s">
        <v>74</v>
      </c>
      <c r="C30" s="16" t="s">
        <v>32</v>
      </c>
      <c r="D30" s="4" t="s">
        <v>10</v>
      </c>
      <c r="E30" s="4">
        <v>0.08</v>
      </c>
      <c r="F30" s="4">
        <v>0.05</v>
      </c>
      <c r="G30" s="4">
        <v>0.91</v>
      </c>
      <c r="H30" s="4">
        <v>0.12</v>
      </c>
      <c r="I30" s="4">
        <v>0.65782651664693226</v>
      </c>
      <c r="J30" s="4">
        <v>0.12170604079118348</v>
      </c>
      <c r="K30" s="4">
        <v>-8.0592357779944255E-3</v>
      </c>
      <c r="L30" s="4">
        <v>9.0851233501897277E-2</v>
      </c>
      <c r="M30" s="4">
        <v>3.6340836477603369</v>
      </c>
      <c r="N30" s="4">
        <v>0.10260412474564277</v>
      </c>
      <c r="O30" s="5">
        <v>1.0567363569886208</v>
      </c>
      <c r="P30" s="5">
        <v>0.92072009410925526</v>
      </c>
      <c r="Q30" s="5">
        <v>1.0188691590252155</v>
      </c>
      <c r="R30" s="5">
        <f t="shared" si="0"/>
        <v>1.086106414314161</v>
      </c>
      <c r="S30" s="5">
        <f t="shared" si="0"/>
        <v>0.98148029228476386</v>
      </c>
      <c r="T30" s="4">
        <v>1.0992010388495614</v>
      </c>
      <c r="U30" s="4">
        <f t="shared" si="1"/>
        <v>1.0649146250464896</v>
      </c>
      <c r="V30" s="5">
        <v>1.4694281602545254</v>
      </c>
      <c r="W30" s="4">
        <f t="shared" si="2"/>
        <v>0.68053684218681787</v>
      </c>
      <c r="X30" s="5">
        <v>1.3278761281681444</v>
      </c>
      <c r="Y30" s="4">
        <f t="shared" si="3"/>
        <v>0.75308229343616417</v>
      </c>
      <c r="Z30" s="4">
        <v>1.4422147802180745</v>
      </c>
      <c r="AA30" s="4">
        <v>1.3120573300472094</v>
      </c>
      <c r="AB30" s="4">
        <v>1.3543008484413608</v>
      </c>
      <c r="AC30" s="4">
        <v>1.5817864090597542</v>
      </c>
      <c r="AD30" s="4">
        <v>1.5405086907853844</v>
      </c>
      <c r="AE30" s="4">
        <v>0.81967872375628115</v>
      </c>
      <c r="AF30" s="28">
        <v>0.74315048787019711</v>
      </c>
      <c r="AG30" s="28">
        <v>1.4542153192963698</v>
      </c>
      <c r="AH30" s="28">
        <v>1.611005839062126</v>
      </c>
    </row>
    <row r="31" spans="1:34" x14ac:dyDescent="0.3">
      <c r="A31" s="25" t="s">
        <v>30</v>
      </c>
      <c r="B31" s="6" t="s">
        <v>74</v>
      </c>
      <c r="C31" s="16" t="s">
        <v>33</v>
      </c>
      <c r="D31" s="4" t="s">
        <v>10</v>
      </c>
      <c r="E31" s="4">
        <v>8.3160991885961044E-2</v>
      </c>
      <c r="F31" s="4">
        <v>9.7528572626863375E-2</v>
      </c>
      <c r="G31" s="4">
        <v>0.96876532205858457</v>
      </c>
      <c r="H31" s="4">
        <v>0.10061923113029805</v>
      </c>
      <c r="I31" s="4">
        <v>0.73</v>
      </c>
      <c r="J31" s="4">
        <v>0.16</v>
      </c>
      <c r="K31" s="4">
        <v>0</v>
      </c>
      <c r="L31" s="4">
        <v>0.1</v>
      </c>
      <c r="M31" s="4">
        <v>2.87</v>
      </c>
      <c r="N31" s="4">
        <v>0.12</v>
      </c>
      <c r="O31" s="5">
        <v>1.0956220458507739</v>
      </c>
      <c r="P31" s="5">
        <v>0.91577641893848194</v>
      </c>
      <c r="Q31" s="5">
        <v>0.97909654142873359</v>
      </c>
      <c r="R31" s="5">
        <f t="shared" si="0"/>
        <v>1.0919695892138668</v>
      </c>
      <c r="S31" s="5">
        <f t="shared" si="0"/>
        <v>1.0213497420190691</v>
      </c>
      <c r="T31" s="4">
        <v>1.107689403732278</v>
      </c>
      <c r="U31" s="4">
        <f t="shared" si="1"/>
        <v>1.262465357151332</v>
      </c>
      <c r="V31" s="5">
        <v>1.357971772894609</v>
      </c>
      <c r="W31" s="4">
        <f t="shared" si="2"/>
        <v>0.73639233153457384</v>
      </c>
      <c r="X31" s="5">
        <v>1.2701490349320017</v>
      </c>
      <c r="Y31" s="4">
        <f t="shared" si="3"/>
        <v>0.78730918380262016</v>
      </c>
      <c r="Z31" s="4">
        <v>1.3869641199150871</v>
      </c>
      <c r="AA31" s="4">
        <v>1.2521236686401562</v>
      </c>
      <c r="AB31" s="4">
        <v>1.0986155873969312</v>
      </c>
      <c r="AC31" s="4">
        <v>1.4400234400047651</v>
      </c>
      <c r="AD31" s="4">
        <v>1.4408018036742185</v>
      </c>
      <c r="AE31" s="4">
        <v>0.82628241899986121</v>
      </c>
      <c r="AF31" s="28">
        <v>0.28551829991172301</v>
      </c>
      <c r="AG31" s="28">
        <v>1.3196032930519674</v>
      </c>
      <c r="AH31" s="28">
        <v>1.5385996087668941</v>
      </c>
    </row>
    <row r="32" spans="1:34" x14ac:dyDescent="0.3">
      <c r="A32" s="25" t="s">
        <v>30</v>
      </c>
      <c r="B32" s="6" t="s">
        <v>74</v>
      </c>
      <c r="C32" s="18" t="s">
        <v>34</v>
      </c>
      <c r="D32" s="4" t="s">
        <v>10</v>
      </c>
      <c r="E32" s="21">
        <v>0.12689994236883551</v>
      </c>
      <c r="F32" s="21">
        <v>9.6031348702027605E-2</v>
      </c>
      <c r="G32" s="21">
        <v>0.93670583463378865</v>
      </c>
      <c r="H32" s="21">
        <v>0.10923720274514273</v>
      </c>
      <c r="I32" s="21">
        <v>0.55081582417271235</v>
      </c>
      <c r="J32" s="21">
        <v>0.19094063583372581</v>
      </c>
      <c r="K32" s="21">
        <v>4.2335338870769235E-2</v>
      </c>
      <c r="L32" s="21">
        <v>0.15341954200040203</v>
      </c>
      <c r="M32" s="21">
        <v>2.7853492501868082</v>
      </c>
      <c r="N32" s="21">
        <v>0.14333972808102224</v>
      </c>
      <c r="O32" s="5">
        <v>1.0398770229398162</v>
      </c>
      <c r="P32" s="5">
        <v>0.92866692541058093</v>
      </c>
      <c r="Q32" s="5">
        <v>1.0009813607907179</v>
      </c>
      <c r="R32" s="5">
        <f t="shared" si="0"/>
        <v>1.0768123345815093</v>
      </c>
      <c r="S32" s="5">
        <f t="shared" si="0"/>
        <v>0.99901960133409218</v>
      </c>
      <c r="T32" s="4">
        <v>1.1109996444850827</v>
      </c>
      <c r="U32" s="4">
        <f t="shared" si="1"/>
        <v>1.2046231247564512</v>
      </c>
      <c r="V32" s="5">
        <v>1.4130775169641023</v>
      </c>
      <c r="W32" s="4">
        <f t="shared" si="2"/>
        <v>0.70767526055359631</v>
      </c>
      <c r="X32" s="5">
        <v>1.3109917970992448</v>
      </c>
      <c r="Y32" s="4">
        <f t="shared" si="3"/>
        <v>0.76278127919079408</v>
      </c>
      <c r="Z32" s="4">
        <v>1.4116921376516463</v>
      </c>
      <c r="AA32" s="4">
        <v>1.2706503954876835</v>
      </c>
      <c r="AB32" s="4">
        <v>1.1718952663614688</v>
      </c>
      <c r="AC32" s="4">
        <v>1.4680004559533719</v>
      </c>
      <c r="AD32" s="4">
        <v>1.4678727410708021</v>
      </c>
      <c r="AE32" s="4">
        <v>0.84823809476786061</v>
      </c>
      <c r="AF32" s="28">
        <v>0.55559031413451465</v>
      </c>
      <c r="AG32" s="28">
        <v>1.3486413255433967</v>
      </c>
      <c r="AH32" s="28">
        <v>1.5332090673278045</v>
      </c>
    </row>
    <row r="33" spans="1:34" x14ac:dyDescent="0.3">
      <c r="A33" s="6" t="s">
        <v>35</v>
      </c>
      <c r="B33" s="6" t="s">
        <v>74</v>
      </c>
      <c r="C33" s="16" t="s">
        <v>36</v>
      </c>
      <c r="D33" s="4" t="s">
        <v>10</v>
      </c>
      <c r="E33" s="4">
        <v>0.64085041014516619</v>
      </c>
      <c r="F33" s="4">
        <v>5.0140587654860749E-2</v>
      </c>
      <c r="G33" s="4">
        <v>1.7717052351171603</v>
      </c>
      <c r="H33" s="4">
        <v>8.4832694880855597E-2</v>
      </c>
      <c r="I33" s="4">
        <v>0.27603195906407879</v>
      </c>
      <c r="J33" s="4">
        <v>0.21049208780644701</v>
      </c>
      <c r="K33" s="4">
        <v>5.5902717151193021E-2</v>
      </c>
      <c r="L33" s="4">
        <v>0.13464482199658825</v>
      </c>
      <c r="M33" s="4">
        <v>1.6210587819334401</v>
      </c>
      <c r="N33" s="4">
        <v>0.12863526681140194</v>
      </c>
      <c r="O33" s="4">
        <v>0.83505463539523783</v>
      </c>
      <c r="P33" s="4">
        <v>0.91432500592713173</v>
      </c>
      <c r="Q33" s="5">
        <v>0.79902570988361976</v>
      </c>
      <c r="R33" s="5">
        <f t="shared" si="0"/>
        <v>1.0937029978590527</v>
      </c>
      <c r="S33" s="5">
        <f t="shared" si="0"/>
        <v>1.2515241845542775</v>
      </c>
      <c r="T33" s="4">
        <v>1.1839747264176335</v>
      </c>
      <c r="U33" s="4">
        <f t="shared" si="1"/>
        <v>1.0847690796512768</v>
      </c>
      <c r="V33" s="5">
        <v>1.4033415548848129</v>
      </c>
      <c r="W33" s="4">
        <f t="shared" si="2"/>
        <v>0.71258489889304288</v>
      </c>
      <c r="X33" s="5">
        <v>1.605843541223142</v>
      </c>
      <c r="Y33" s="4">
        <f t="shared" si="3"/>
        <v>0.62272567303681281</v>
      </c>
      <c r="Z33" s="4">
        <v>1.7563158951283475</v>
      </c>
      <c r="AA33" s="4">
        <v>1.4834065761204664</v>
      </c>
      <c r="AB33" s="4">
        <v>1.6190689134437299</v>
      </c>
      <c r="AC33" s="4">
        <v>1.5051943408701489</v>
      </c>
      <c r="AD33" s="4">
        <v>1.4447375257890684</v>
      </c>
      <c r="AE33" s="4">
        <v>0.78007718128397785</v>
      </c>
      <c r="AF33" s="28">
        <v>0.42513448837100021</v>
      </c>
      <c r="AG33" s="28">
        <v>1.2917439674321551</v>
      </c>
      <c r="AH33" s="28">
        <v>1.4534055829125647</v>
      </c>
    </row>
    <row r="34" spans="1:34" x14ac:dyDescent="0.3">
      <c r="A34" s="6" t="s">
        <v>35</v>
      </c>
      <c r="B34" s="6" t="s">
        <v>74</v>
      </c>
      <c r="C34" s="16" t="s">
        <v>72</v>
      </c>
      <c r="D34" s="4" t="s">
        <v>10</v>
      </c>
      <c r="E34" s="4">
        <v>0.03</v>
      </c>
      <c r="F34" s="4">
        <v>0.03</v>
      </c>
      <c r="G34" s="4">
        <v>0.83</v>
      </c>
      <c r="H34" s="4">
        <v>0.05</v>
      </c>
      <c r="I34" s="4">
        <v>0.42</v>
      </c>
      <c r="J34" s="4">
        <v>7.0000000000000007E-2</v>
      </c>
      <c r="K34" s="4">
        <v>-0.01</v>
      </c>
      <c r="L34" s="4">
        <v>0.08</v>
      </c>
      <c r="M34" s="4">
        <v>3.6</v>
      </c>
      <c r="N34" s="4">
        <v>0.06</v>
      </c>
      <c r="O34" s="5">
        <v>1.2012406065905461</v>
      </c>
      <c r="P34" s="5">
        <v>0.87864370752668897</v>
      </c>
      <c r="Q34" s="5">
        <v>1.1402588751481588</v>
      </c>
      <c r="R34" s="5">
        <f t="shared" si="0"/>
        <v>1.1381177506123832</v>
      </c>
      <c r="S34" s="5">
        <f t="shared" si="0"/>
        <v>0.8769938316595568</v>
      </c>
      <c r="T34" s="4">
        <v>1.2265591959166882</v>
      </c>
      <c r="U34" s="4">
        <f t="shared" si="1"/>
        <v>1.211933908444234</v>
      </c>
      <c r="V34" s="5">
        <v>1.7916360855082989</v>
      </c>
      <c r="W34" s="4">
        <f t="shared" si="2"/>
        <v>0.55814906168084544</v>
      </c>
      <c r="X34" s="5">
        <v>1.3805722604045259</v>
      </c>
      <c r="Y34" s="4">
        <f t="shared" si="3"/>
        <v>0.72433731191077733</v>
      </c>
      <c r="Z34" s="4">
        <v>1.5712537955694523</v>
      </c>
      <c r="AA34" s="4">
        <v>1.2810256535520499</v>
      </c>
      <c r="AB34" s="4">
        <v>1.2964847213380466</v>
      </c>
      <c r="AC34" s="4">
        <v>2.0123499722413736</v>
      </c>
      <c r="AD34" s="4">
        <v>1.9914687205806862</v>
      </c>
      <c r="AE34" s="4">
        <v>0.7729427637212094</v>
      </c>
      <c r="AF34" s="28">
        <v>0.61967648477338344</v>
      </c>
      <c r="AG34" s="28">
        <v>1.9441786283891549</v>
      </c>
      <c r="AH34" s="28">
        <v>2.1108816694250976</v>
      </c>
    </row>
    <row r="35" spans="1:34" x14ac:dyDescent="0.3">
      <c r="A35" s="6" t="s">
        <v>35</v>
      </c>
      <c r="B35" s="6" t="s">
        <v>74</v>
      </c>
      <c r="C35" s="16" t="s">
        <v>37</v>
      </c>
      <c r="D35" s="4" t="s">
        <v>10</v>
      </c>
      <c r="E35" s="4">
        <v>0.14668319995400636</v>
      </c>
      <c r="F35" s="4">
        <v>7.7536175649435546E-2</v>
      </c>
      <c r="G35" s="4">
        <v>1.0019350131487692</v>
      </c>
      <c r="H35" s="4">
        <v>7.5004456200744168E-2</v>
      </c>
      <c r="I35" s="4">
        <v>0.45</v>
      </c>
      <c r="J35" s="4">
        <v>0.21</v>
      </c>
      <c r="K35" s="4">
        <v>-7.0000000000000007E-2</v>
      </c>
      <c r="L35" s="4">
        <v>0.09</v>
      </c>
      <c r="M35" s="4">
        <v>2.06</v>
      </c>
      <c r="N35" s="4">
        <v>0.1</v>
      </c>
      <c r="O35" s="4">
        <v>1.0227792384602479</v>
      </c>
      <c r="P35" s="4">
        <v>0.81638610033006587</v>
      </c>
      <c r="Q35" s="4">
        <v>0.91452608314807238</v>
      </c>
      <c r="R35" s="5">
        <f t="shared" si="0"/>
        <v>1.2249106147148987</v>
      </c>
      <c r="S35" s="5">
        <f t="shared" si="0"/>
        <v>1.0934625249371792</v>
      </c>
      <c r="T35" s="4">
        <v>1.2928655655385539</v>
      </c>
      <c r="U35" s="4">
        <f t="shared" si="1"/>
        <v>1.3004637765543647</v>
      </c>
      <c r="V35" s="5">
        <v>1.4206528962132081</v>
      </c>
      <c r="W35" s="4">
        <f t="shared" si="2"/>
        <v>0.70390170791579654</v>
      </c>
      <c r="X35" s="5">
        <f>3300/2610</f>
        <v>1.264367816091954</v>
      </c>
      <c r="Y35" s="4">
        <f t="shared" si="3"/>
        <v>0.79090909090909089</v>
      </c>
      <c r="Z35" s="4">
        <v>1.5534307029526111</v>
      </c>
      <c r="AA35" s="4">
        <v>1.2015407822432926</v>
      </c>
      <c r="AB35" s="4">
        <v>1.1945205479452055</v>
      </c>
      <c r="AC35" s="4">
        <v>1.8280542986425339</v>
      </c>
      <c r="AD35" s="4">
        <v>1.6200716845878136</v>
      </c>
      <c r="AE35" s="4">
        <v>0.71729957805907174</v>
      </c>
      <c r="AF35" s="28">
        <v>0.61568627450980395</v>
      </c>
      <c r="AG35" s="28">
        <v>1.4967482018028178</v>
      </c>
      <c r="AH35" s="28">
        <v>1.5316150467656831</v>
      </c>
    </row>
    <row r="36" spans="1:34" x14ac:dyDescent="0.3">
      <c r="A36" s="6" t="s">
        <v>35</v>
      </c>
      <c r="B36" s="6" t="s">
        <v>74</v>
      </c>
      <c r="C36" s="16" t="s">
        <v>38</v>
      </c>
      <c r="D36" s="4" t="s">
        <v>10</v>
      </c>
      <c r="E36" s="4">
        <v>-3.2041506163316136E-2</v>
      </c>
      <c r="F36" s="4">
        <v>6.3524906376601006E-2</v>
      </c>
      <c r="G36" s="4">
        <v>1.1137926825416367</v>
      </c>
      <c r="H36" s="4">
        <v>4.5471931465276741E-2</v>
      </c>
      <c r="I36" s="4">
        <v>0.39</v>
      </c>
      <c r="J36" s="4">
        <v>0.14000000000000001</v>
      </c>
      <c r="K36" s="4">
        <v>0.21</v>
      </c>
      <c r="L36" s="4">
        <v>0.11</v>
      </c>
      <c r="M36" s="4">
        <v>2.78</v>
      </c>
      <c r="N36" s="4">
        <v>0.15</v>
      </c>
      <c r="O36" s="4">
        <v>0.91031374424642519</v>
      </c>
      <c r="P36" s="4">
        <v>0.79176981940529734</v>
      </c>
      <c r="Q36" s="4">
        <v>1</v>
      </c>
      <c r="R36" s="5">
        <f t="shared" si="0"/>
        <v>1.2629933289843069</v>
      </c>
      <c r="S36" s="5">
        <f t="shared" si="0"/>
        <v>1</v>
      </c>
      <c r="T36" s="4">
        <v>1.330094084943203</v>
      </c>
      <c r="U36" s="4">
        <f t="shared" si="1"/>
        <v>1.4218910944412066</v>
      </c>
      <c r="V36" s="5">
        <v>1.223241661454382</v>
      </c>
      <c r="W36" s="4">
        <f t="shared" si="2"/>
        <v>0.81749995238965523</v>
      </c>
      <c r="X36" s="5">
        <v>1.2069269723254223</v>
      </c>
      <c r="Y36" s="4">
        <f t="shared" si="3"/>
        <v>0.82855054442380227</v>
      </c>
      <c r="Z36" s="4">
        <v>1.5243407146182357</v>
      </c>
      <c r="AA36" s="4">
        <v>1.1460397665653308</v>
      </c>
      <c r="AB36" s="4">
        <v>1.0720516645596483</v>
      </c>
      <c r="AC36" s="4">
        <v>1.5381079309986707</v>
      </c>
      <c r="AD36" s="4">
        <v>1.3946827973311313</v>
      </c>
      <c r="AE36" s="4">
        <v>0.70940719961417453</v>
      </c>
      <c r="AF36" s="28">
        <v>0.41876201182343542</v>
      </c>
      <c r="AG36" s="28">
        <v>1.3422177356774005</v>
      </c>
      <c r="AH36" s="28">
        <v>1.4571991274345406</v>
      </c>
    </row>
    <row r="37" spans="1:34" x14ac:dyDescent="0.3">
      <c r="A37" s="6" t="s">
        <v>39</v>
      </c>
      <c r="B37" s="6" t="s">
        <v>74</v>
      </c>
      <c r="C37" s="16" t="s">
        <v>40</v>
      </c>
      <c r="D37" s="4" t="s">
        <v>10</v>
      </c>
      <c r="E37" s="4">
        <v>0</v>
      </c>
      <c r="F37" s="4">
        <v>0.05</v>
      </c>
      <c r="G37" s="4">
        <v>0.38</v>
      </c>
      <c r="H37" s="4">
        <v>0.09</v>
      </c>
      <c r="I37" s="5">
        <v>0.52913989878713774</v>
      </c>
      <c r="J37" s="5">
        <v>0.10015800831141529</v>
      </c>
      <c r="K37" s="5">
        <v>-1.6216779658359763E-2</v>
      </c>
      <c r="L37" s="5">
        <v>6.6209029920763371E-2</v>
      </c>
      <c r="M37" s="5">
        <v>3.210395267346704</v>
      </c>
      <c r="N37" s="5">
        <v>0.12914832533811899</v>
      </c>
      <c r="O37" s="4">
        <v>1.1845540211746317</v>
      </c>
      <c r="P37" s="4">
        <v>0.90297090018931925</v>
      </c>
      <c r="Q37" s="4">
        <v>1.0837209312796285</v>
      </c>
      <c r="R37" s="5">
        <f t="shared" si="0"/>
        <v>1.1074554006007695</v>
      </c>
      <c r="S37" s="5">
        <f t="shared" si="0"/>
        <v>0.92274678022433954</v>
      </c>
      <c r="T37" s="4">
        <v>0.92877059584347477</v>
      </c>
      <c r="U37" s="4">
        <f t="shared" si="1"/>
        <v>0.94649748618471119</v>
      </c>
      <c r="V37" s="5">
        <v>1.6232728042844471</v>
      </c>
      <c r="W37" s="4">
        <f t="shared" si="2"/>
        <v>0.61603939729699886</v>
      </c>
      <c r="X37" s="5">
        <v>1.3525327997557712</v>
      </c>
      <c r="Y37" s="4">
        <f t="shared" si="3"/>
        <v>0.7393536039795644</v>
      </c>
      <c r="Z37" s="4">
        <v>1.497869753579208</v>
      </c>
      <c r="AA37" s="4">
        <v>1.2428001022621038</v>
      </c>
      <c r="AB37" s="4">
        <v>1.582539600413577</v>
      </c>
      <c r="AC37" s="4">
        <v>1.7797146061403215</v>
      </c>
      <c r="AD37" s="4">
        <v>1.7464977826529851</v>
      </c>
      <c r="AE37" s="4">
        <v>0.71648758665568801</v>
      </c>
      <c r="AF37" s="28">
        <v>0.6391927452213072</v>
      </c>
      <c r="AG37" s="28">
        <v>1.6634913429502991</v>
      </c>
      <c r="AH37" s="28">
        <v>1.8090213797166275</v>
      </c>
    </row>
    <row r="38" spans="1:34" ht="15.6" x14ac:dyDescent="0.3">
      <c r="A38" s="6" t="s">
        <v>56</v>
      </c>
      <c r="B38" s="6" t="s">
        <v>74</v>
      </c>
      <c r="C38" s="1" t="s">
        <v>57</v>
      </c>
      <c r="D38" s="15"/>
      <c r="E38" s="4">
        <v>0.14000000000000001</v>
      </c>
      <c r="F38" s="4">
        <v>0.13</v>
      </c>
      <c r="G38" s="4">
        <v>0.7</v>
      </c>
      <c r="H38" s="4">
        <v>0.13</v>
      </c>
      <c r="I38" s="4">
        <v>0.53</v>
      </c>
      <c r="J38" s="4">
        <v>0.06</v>
      </c>
      <c r="K38" s="4">
        <v>-0.05</v>
      </c>
      <c r="L38" s="4">
        <v>0.03</v>
      </c>
      <c r="M38" s="4">
        <v>2.6</v>
      </c>
      <c r="N38" s="4">
        <v>7.0000000000000007E-2</v>
      </c>
      <c r="Q38">
        <f>V38/Z38</f>
        <v>1.2841767030733693</v>
      </c>
      <c r="R38" s="4">
        <f t="shared" ref="R38:R42" si="4">Z38/X38</f>
        <v>1.3828472312245779</v>
      </c>
      <c r="S38" s="4">
        <f t="shared" ref="S38:S42" si="5">Z38/V38</f>
        <v>0.77870903405017367</v>
      </c>
      <c r="T38" s="4">
        <f>Z38/AA38</f>
        <v>1.4463895124455142</v>
      </c>
      <c r="U38" s="4">
        <f t="shared" si="1"/>
        <v>1.4463895124455142</v>
      </c>
      <c r="V38" s="5">
        <v>2.1275555679372933</v>
      </c>
      <c r="W38" s="4">
        <f t="shared" si="2"/>
        <v>0.47002297616579741</v>
      </c>
      <c r="X38" s="5">
        <v>1.1980692471209484</v>
      </c>
      <c r="Y38" s="4">
        <f t="shared" si="3"/>
        <v>0.83467629471591576</v>
      </c>
      <c r="Z38" s="4">
        <v>1.6567467411965182</v>
      </c>
      <c r="AA38" s="4">
        <v>1.1454360854672805</v>
      </c>
      <c r="AB38" s="4">
        <v>1.1454360854672805</v>
      </c>
      <c r="AC38" s="4">
        <v>1.8643327196133617</v>
      </c>
      <c r="AD38" s="4">
        <v>2.2874146071358812</v>
      </c>
      <c r="AE38" s="4">
        <v>0.68691794168512144</v>
      </c>
      <c r="AF38" s="4"/>
      <c r="AG38" s="28">
        <v>2.1011053113003144</v>
      </c>
      <c r="AH38" s="28">
        <v>2.0155139123528523</v>
      </c>
    </row>
    <row r="39" spans="1:34" ht="15.6" x14ac:dyDescent="0.3">
      <c r="A39" s="6" t="s">
        <v>56</v>
      </c>
      <c r="B39" s="6" t="s">
        <v>74</v>
      </c>
      <c r="C39" s="1" t="s">
        <v>58</v>
      </c>
      <c r="D39" s="15"/>
      <c r="E39" s="4">
        <v>0.06</v>
      </c>
      <c r="F39" s="4">
        <v>0.08</v>
      </c>
      <c r="G39" s="4">
        <v>0.68</v>
      </c>
      <c r="H39" s="4">
        <v>0.18</v>
      </c>
      <c r="I39" s="4">
        <v>0.43</v>
      </c>
      <c r="J39" s="4">
        <v>0.13</v>
      </c>
      <c r="K39" s="4">
        <v>-7.0000000000000007E-2</v>
      </c>
      <c r="L39" s="4">
        <v>7.0000000000000007E-2</v>
      </c>
      <c r="M39" s="4">
        <v>2.57</v>
      </c>
      <c r="N39" s="4">
        <v>0.09</v>
      </c>
      <c r="Q39">
        <f t="shared" ref="Q39:Q42" si="6">V39/Z39</f>
        <v>1.2305191620537452</v>
      </c>
      <c r="R39" s="4">
        <f t="shared" si="4"/>
        <v>1.5692959261099619</v>
      </c>
      <c r="S39" s="4">
        <f t="shared" si="5"/>
        <v>0.81266511797426455</v>
      </c>
      <c r="T39" s="4">
        <f t="shared" ref="T39:T41" si="7">Z39/AA39</f>
        <v>1.6285419277709046</v>
      </c>
      <c r="U39" s="4">
        <f t="shared" si="1"/>
        <v>1.6285419277709046</v>
      </c>
      <c r="V39" s="5">
        <v>2.2032481968926625</v>
      </c>
      <c r="W39" s="4">
        <f t="shared" si="2"/>
        <v>0.45387532889410453</v>
      </c>
      <c r="X39" s="5">
        <v>1.1409594112008796</v>
      </c>
      <c r="Y39" s="4">
        <f t="shared" si="3"/>
        <v>0.8764553674591129</v>
      </c>
      <c r="Z39" s="4">
        <v>1.7905029558543613</v>
      </c>
      <c r="AA39" s="4">
        <v>1.0994515556041862</v>
      </c>
      <c r="AB39" s="4">
        <v>1.0994515556041862</v>
      </c>
      <c r="AC39" s="4">
        <v>1.8502555534545799</v>
      </c>
      <c r="AD39" s="4">
        <v>2.2251910758543958</v>
      </c>
      <c r="AE39" s="4">
        <v>0.72111698585026063</v>
      </c>
      <c r="AF39" s="4"/>
      <c r="AG39" s="28">
        <v>5.599911519450429</v>
      </c>
      <c r="AH39" s="28">
        <v>3.6398530651275744</v>
      </c>
    </row>
    <row r="40" spans="1:34" ht="15.6" x14ac:dyDescent="0.3">
      <c r="A40" s="6" t="s">
        <v>56</v>
      </c>
      <c r="B40" s="6" t="s">
        <v>74</v>
      </c>
      <c r="C40" s="1" t="s">
        <v>59</v>
      </c>
      <c r="D40" s="15"/>
      <c r="E40" s="4">
        <v>0.05</v>
      </c>
      <c r="F40" s="4">
        <v>0.11</v>
      </c>
      <c r="G40" s="4">
        <v>0.64</v>
      </c>
      <c r="H40" s="4">
        <v>0.12</v>
      </c>
      <c r="I40" s="4">
        <v>0.44</v>
      </c>
      <c r="J40" s="4">
        <v>0.1</v>
      </c>
      <c r="K40" s="4">
        <v>-0.08</v>
      </c>
      <c r="L40" s="4">
        <v>0.09</v>
      </c>
      <c r="M40" s="4">
        <v>2.35</v>
      </c>
      <c r="N40" s="4">
        <v>0.05</v>
      </c>
      <c r="Q40">
        <f t="shared" si="6"/>
        <v>1.1836196020071856</v>
      </c>
      <c r="R40" s="4">
        <f t="shared" si="4"/>
        <v>1.6367683443120935</v>
      </c>
      <c r="S40" s="4">
        <f t="shared" si="5"/>
        <v>0.84486603491881773</v>
      </c>
      <c r="T40" s="4">
        <f t="shared" si="7"/>
        <v>1.6805649183958542</v>
      </c>
      <c r="U40" s="4">
        <f t="shared" si="1"/>
        <v>1.6805649183958542</v>
      </c>
      <c r="V40" s="4">
        <v>2.2479570565438891</v>
      </c>
      <c r="W40" s="4">
        <f t="shared" si="2"/>
        <v>0.44484835557198998</v>
      </c>
      <c r="X40" s="4">
        <v>1.1603490326715866</v>
      </c>
      <c r="Y40" s="4">
        <f t="shared" si="3"/>
        <v>0.86180965540825316</v>
      </c>
      <c r="Z40" s="4">
        <v>1.8992225650300121</v>
      </c>
      <c r="AA40" s="4">
        <v>1.1301096103106048</v>
      </c>
      <c r="AB40" s="4">
        <v>1.1301096103106048</v>
      </c>
      <c r="AC40" s="4">
        <v>2.1869136182855451</v>
      </c>
      <c r="AD40" s="4">
        <v>2.4452527025587325</v>
      </c>
      <c r="AE40" s="4">
        <v>0.76080960876359593</v>
      </c>
      <c r="AF40" s="4"/>
      <c r="AG40" s="28">
        <v>3.7880888250842335</v>
      </c>
      <c r="AH40" s="28">
        <v>2.8239633978674754</v>
      </c>
    </row>
    <row r="41" spans="1:34" ht="15.6" x14ac:dyDescent="0.3">
      <c r="A41" s="6" t="s">
        <v>56</v>
      </c>
      <c r="B41" s="6" t="s">
        <v>74</v>
      </c>
      <c r="C41" s="1" t="s">
        <v>60</v>
      </c>
      <c r="D41" s="15"/>
      <c r="E41" s="4">
        <v>0.05</v>
      </c>
      <c r="F41" s="4">
        <v>7.0000000000000007E-2</v>
      </c>
      <c r="G41" s="4">
        <v>0.76</v>
      </c>
      <c r="H41" s="4">
        <v>0.12</v>
      </c>
      <c r="I41" s="4">
        <v>0.52</v>
      </c>
      <c r="J41" s="4">
        <v>0.06</v>
      </c>
      <c r="K41" s="4">
        <v>-0.05</v>
      </c>
      <c r="L41" s="4">
        <v>0.04</v>
      </c>
      <c r="M41" s="4">
        <v>2.85</v>
      </c>
      <c r="N41" s="4">
        <v>0.08</v>
      </c>
      <c r="Q41">
        <f t="shared" si="6"/>
        <v>1.289451511936579</v>
      </c>
      <c r="R41" s="4">
        <f t="shared" si="4"/>
        <v>1.4832491929413001</v>
      </c>
      <c r="S41" s="4">
        <f t="shared" si="5"/>
        <v>0.77552353907293292</v>
      </c>
      <c r="T41" s="4">
        <f t="shared" si="7"/>
        <v>0.85441027408901371</v>
      </c>
      <c r="U41" s="4">
        <f t="shared" si="1"/>
        <v>0.85441027408901371</v>
      </c>
      <c r="V41" s="4">
        <v>2.0287635402623874</v>
      </c>
      <c r="W41" s="4">
        <f t="shared" si="2"/>
        <v>0.49291106634865212</v>
      </c>
      <c r="X41" s="4">
        <v>1.0607481791825153</v>
      </c>
      <c r="Y41" s="4">
        <f t="shared" si="3"/>
        <v>0.9427308192701005</v>
      </c>
      <c r="Z41" s="4">
        <v>1.5733538806864193</v>
      </c>
      <c r="AA41" s="4">
        <v>1.8414500953467059</v>
      </c>
      <c r="AB41" s="4">
        <v>1.8414500953467059</v>
      </c>
      <c r="AC41" s="4">
        <v>2.1925585964564429</v>
      </c>
      <c r="AD41" s="4">
        <v>2.14966198430999</v>
      </c>
      <c r="AE41" s="4">
        <v>0.57054107761766748</v>
      </c>
      <c r="AF41" s="4"/>
      <c r="AG41" s="28">
        <v>2.0349831002981182</v>
      </c>
      <c r="AH41" s="28">
        <v>1.9112491644724698</v>
      </c>
    </row>
    <row r="42" spans="1:34" ht="15.6" x14ac:dyDescent="0.3">
      <c r="A42" s="6" t="s">
        <v>56</v>
      </c>
      <c r="B42" s="6" t="s">
        <v>74</v>
      </c>
      <c r="C42" s="1" t="s">
        <v>61</v>
      </c>
      <c r="D42" s="15"/>
      <c r="E42" s="4">
        <v>7.0000000000000007E-2</v>
      </c>
      <c r="F42" s="4">
        <v>0.08</v>
      </c>
      <c r="G42" s="4">
        <v>0.81</v>
      </c>
      <c r="H42" s="4">
        <v>0.1</v>
      </c>
      <c r="I42" s="4">
        <v>0.5</v>
      </c>
      <c r="J42" s="4">
        <v>0.09</v>
      </c>
      <c r="K42" s="4">
        <v>7.0000000000000007E-2</v>
      </c>
      <c r="L42" s="4">
        <v>0.1</v>
      </c>
      <c r="M42" s="4">
        <v>2.63</v>
      </c>
      <c r="N42" s="4">
        <v>0.1</v>
      </c>
      <c r="Q42">
        <f t="shared" si="6"/>
        <v>1.1690735262758554</v>
      </c>
      <c r="R42" s="4">
        <f t="shared" si="4"/>
        <v>1.4881716132172522</v>
      </c>
      <c r="S42" s="4">
        <f t="shared" si="5"/>
        <v>0.85537819266642034</v>
      </c>
      <c r="T42" s="4">
        <f>Z42/AA42</f>
        <v>1.4829515728335572</v>
      </c>
      <c r="U42" s="4">
        <f t="shared" si="1"/>
        <v>1.4829515728335572</v>
      </c>
      <c r="V42" s="4">
        <v>2.2572366243138751</v>
      </c>
      <c r="W42" s="4">
        <f t="shared" si="2"/>
        <v>0.44301957057956509</v>
      </c>
      <c r="X42" s="4">
        <v>1.2974249521880818</v>
      </c>
      <c r="Y42" s="4">
        <f t="shared" si="3"/>
        <v>0.77075749029916496</v>
      </c>
      <c r="Z42" s="4">
        <v>1.930790984126054</v>
      </c>
      <c r="AA42" s="4">
        <v>1.3019919325057834</v>
      </c>
      <c r="AB42" s="4">
        <v>1.3019919325057834</v>
      </c>
      <c r="AC42" s="4">
        <v>2.0029596991201282</v>
      </c>
      <c r="AD42" s="4">
        <v>2.5736939560075078</v>
      </c>
      <c r="AE42" s="4">
        <v>0.72846208865049511</v>
      </c>
      <c r="AF42" s="4"/>
      <c r="AG42" s="28">
        <v>2.4748495413480502</v>
      </c>
      <c r="AH42" s="28">
        <v>2.3213710947381236</v>
      </c>
    </row>
    <row r="43" spans="1:34" ht="15.6" x14ac:dyDescent="0.3">
      <c r="A43" s="26"/>
      <c r="B43" s="26"/>
      <c r="C43" s="27"/>
      <c r="D43" s="11"/>
      <c r="E43" s="23"/>
      <c r="F43" s="23"/>
      <c r="G43" s="23"/>
      <c r="H43" s="23"/>
      <c r="I43" s="23"/>
      <c r="J43" s="23"/>
      <c r="K43" s="23"/>
      <c r="L43" s="23"/>
      <c r="M43" s="23"/>
      <c r="N43" s="23"/>
      <c r="R43" s="4"/>
      <c r="S43" s="4"/>
      <c r="T43" s="4"/>
      <c r="U43" s="4"/>
      <c r="V43" s="23"/>
      <c r="W43" s="4"/>
      <c r="X43" s="23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5.6" x14ac:dyDescent="0.3">
      <c r="A44" s="26"/>
      <c r="B44" s="6"/>
      <c r="C44" s="16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3">
      <c r="A45" s="6"/>
      <c r="B45" s="6"/>
      <c r="C45" s="1"/>
      <c r="E45" s="5"/>
      <c r="F45" s="5"/>
      <c r="G45" s="5"/>
      <c r="H45" s="5"/>
      <c r="I45" s="5"/>
      <c r="J45" s="5"/>
      <c r="K45" s="5"/>
      <c r="L45" s="5"/>
      <c r="M45" s="5"/>
      <c r="N45" s="5"/>
      <c r="O45" s="4"/>
      <c r="P45" s="4"/>
      <c r="R45" s="4"/>
      <c r="S45" s="4"/>
      <c r="T45" s="4"/>
      <c r="U45" s="4"/>
      <c r="V45"/>
    </row>
    <row r="46" spans="1:34" x14ac:dyDescent="0.3">
      <c r="A46" s="6"/>
      <c r="B46" s="6"/>
      <c r="C46" s="1"/>
      <c r="E46" s="28"/>
      <c r="F46" s="28"/>
      <c r="G46" s="28"/>
      <c r="H46" s="28"/>
      <c r="I46" s="4"/>
      <c r="J46" s="4"/>
      <c r="K46" s="4"/>
      <c r="L46" s="4"/>
      <c r="M46" s="4"/>
      <c r="N46" s="4"/>
      <c r="R46" s="4"/>
      <c r="S46" s="4"/>
      <c r="T46" s="4"/>
      <c r="U46" s="4"/>
      <c r="X46" s="1"/>
    </row>
    <row r="47" spans="1:34" x14ac:dyDescent="0.3">
      <c r="A47" s="6"/>
      <c r="B47" s="6"/>
      <c r="C47" s="1"/>
      <c r="E47" s="28"/>
      <c r="F47" s="28"/>
      <c r="G47" s="28"/>
      <c r="H47" s="28"/>
      <c r="I47" s="4"/>
      <c r="J47" s="4"/>
      <c r="K47" s="4"/>
      <c r="L47" s="4"/>
      <c r="M47" s="4"/>
      <c r="N47" s="4"/>
      <c r="R47" s="4"/>
      <c r="S47" s="4"/>
      <c r="T47" s="4"/>
      <c r="U47" s="4"/>
      <c r="X47" s="1"/>
    </row>
    <row r="48" spans="1:34" x14ac:dyDescent="0.3">
      <c r="A48" s="6"/>
      <c r="B48" s="6"/>
      <c r="C48" s="1"/>
      <c r="E48" s="28"/>
      <c r="F48" s="28"/>
      <c r="G48" s="28"/>
      <c r="H48" s="28"/>
      <c r="I48" s="28"/>
      <c r="J48" s="28"/>
      <c r="K48" s="28"/>
      <c r="L48" s="28"/>
      <c r="M48" s="28"/>
      <c r="N48" s="28"/>
      <c r="R48" s="4"/>
      <c r="S48" s="4"/>
      <c r="T48" s="4"/>
      <c r="U48" s="4"/>
      <c r="X48" s="1"/>
    </row>
    <row r="49" spans="1:24" x14ac:dyDescent="0.3">
      <c r="A49" s="6"/>
      <c r="B49" s="6"/>
      <c r="C49" s="1"/>
      <c r="E49" s="28"/>
      <c r="F49" s="28"/>
      <c r="G49" s="28"/>
      <c r="H49" s="28"/>
      <c r="I49" s="28"/>
      <c r="J49" s="28"/>
      <c r="K49" s="28"/>
      <c r="L49" s="28"/>
      <c r="M49" s="28"/>
      <c r="N49" s="28"/>
      <c r="R49" s="4"/>
      <c r="S49" s="4"/>
      <c r="T49" s="4"/>
      <c r="U49" s="4"/>
      <c r="X49" s="1"/>
    </row>
    <row r="50" spans="1:24" x14ac:dyDescent="0.3">
      <c r="A50" s="29"/>
      <c r="B50" s="29"/>
      <c r="C50" s="30"/>
      <c r="G50" s="31"/>
      <c r="H50" s="31"/>
      <c r="I50" s="28"/>
      <c r="J50" s="28"/>
      <c r="K50" s="28"/>
      <c r="L50" s="28"/>
      <c r="M50" s="31"/>
      <c r="N50" s="31"/>
    </row>
    <row r="51" spans="1:24" x14ac:dyDescent="0.3">
      <c r="A51" s="29"/>
      <c r="B51" s="34"/>
      <c r="G51" s="28"/>
      <c r="H51" s="28"/>
      <c r="I51" s="28"/>
      <c r="J51" s="28"/>
      <c r="K51" s="28"/>
      <c r="L51" s="28"/>
      <c r="M51" s="28"/>
      <c r="N51" s="28"/>
    </row>
    <row r="52" spans="1:24" x14ac:dyDescent="0.3">
      <c r="A52" s="29"/>
      <c r="B52" s="34"/>
      <c r="G52" s="28"/>
      <c r="H52" s="28"/>
      <c r="I52" s="28"/>
      <c r="J52" s="28"/>
      <c r="K52" s="28"/>
      <c r="L52" s="28"/>
      <c r="M52" s="28"/>
      <c r="N52" s="28"/>
    </row>
    <row r="53" spans="1:24" x14ac:dyDescent="0.3">
      <c r="C53" s="30"/>
      <c r="G53" s="31"/>
      <c r="H53" s="31"/>
      <c r="I53" s="28"/>
      <c r="J53" s="28"/>
      <c r="K53" s="28"/>
      <c r="L53" s="28"/>
      <c r="M53" s="31"/>
      <c r="N53" s="31"/>
    </row>
    <row r="54" spans="1:24" x14ac:dyDescent="0.3">
      <c r="G54" s="28"/>
      <c r="H54" s="28"/>
      <c r="I54" s="28"/>
      <c r="J54" s="28"/>
      <c r="K54" s="28"/>
      <c r="L54" s="28"/>
      <c r="M54" s="28"/>
      <c r="N54" s="28"/>
    </row>
    <row r="55" spans="1:24" x14ac:dyDescent="0.3">
      <c r="G55" s="28"/>
      <c r="H55" s="28"/>
      <c r="I55" s="28"/>
      <c r="J55" s="28"/>
      <c r="K55" s="28"/>
      <c r="L55" s="28"/>
      <c r="M55" s="28"/>
      <c r="N55" s="28"/>
    </row>
    <row r="56" spans="1:24" x14ac:dyDescent="0.3">
      <c r="G56" s="28"/>
      <c r="H56" s="28"/>
      <c r="I56" s="28"/>
      <c r="J56" s="28"/>
      <c r="K56" s="28"/>
      <c r="L56" s="28"/>
      <c r="M56" s="28"/>
      <c r="N56" s="28"/>
    </row>
    <row r="57" spans="1:24" x14ac:dyDescent="0.3">
      <c r="G57" s="28"/>
      <c r="H57" s="28"/>
      <c r="I57" s="28"/>
      <c r="J57" s="28"/>
      <c r="K57" s="28"/>
      <c r="L57" s="28"/>
      <c r="M57" s="28"/>
      <c r="N57" s="28"/>
    </row>
    <row r="58" spans="1:24" x14ac:dyDescent="0.3">
      <c r="G58" s="28"/>
      <c r="H58" s="28"/>
      <c r="I58" s="28"/>
      <c r="J58" s="28"/>
      <c r="K58" s="28"/>
      <c r="L58" s="28"/>
      <c r="M58" s="28"/>
      <c r="N58" s="28"/>
    </row>
    <row r="59" spans="1:24" x14ac:dyDescent="0.3">
      <c r="C59" s="32"/>
      <c r="G59" s="31"/>
      <c r="H59" s="31"/>
      <c r="I59" s="28"/>
      <c r="J59" s="28"/>
      <c r="K59" s="28"/>
      <c r="L59" s="28"/>
      <c r="M59" s="31"/>
      <c r="N59" s="31"/>
    </row>
    <row r="60" spans="1:24" x14ac:dyDescent="0.3">
      <c r="G60" s="28"/>
      <c r="H60" s="28"/>
      <c r="I60" s="28"/>
      <c r="J60" s="28"/>
      <c r="K60" s="28"/>
      <c r="L60" s="28"/>
      <c r="M60" s="28"/>
      <c r="N60" s="28"/>
    </row>
    <row r="61" spans="1:24" x14ac:dyDescent="0.3">
      <c r="G61" s="28"/>
      <c r="H61" s="28"/>
      <c r="I61" s="28"/>
      <c r="J61" s="28"/>
      <c r="K61" s="28"/>
      <c r="L61" s="28"/>
      <c r="M61" s="28"/>
      <c r="N61" s="28"/>
    </row>
    <row r="62" spans="1:24" x14ac:dyDescent="0.3">
      <c r="C62" s="33"/>
      <c r="G62" s="28"/>
      <c r="H62" s="28"/>
      <c r="I62" s="28"/>
      <c r="J62" s="28"/>
      <c r="K62" s="28"/>
      <c r="L62" s="28"/>
      <c r="M62" s="28"/>
      <c r="N62" s="28"/>
    </row>
  </sheetData>
  <phoneticPr fontId="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hul98</dc:creator>
  <cp:lastModifiedBy>hul98</cp:lastModifiedBy>
  <dcterms:created xsi:type="dcterms:W3CDTF">2015-06-05T18:19:34Z</dcterms:created>
  <dcterms:modified xsi:type="dcterms:W3CDTF">2026-06-12T12:53:42Z</dcterms:modified>
</cp:coreProperties>
</file>